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mc:AlternateContent xmlns:mc="http://schemas.openxmlformats.org/markup-compatibility/2006">
    <mc:Choice Requires="x15">
      <x15ac:absPath xmlns:x15ac="http://schemas.microsoft.com/office/spreadsheetml/2010/11/ac" url="C:\Users\RSM\Downloads\"/>
    </mc:Choice>
  </mc:AlternateContent>
  <xr:revisionPtr revIDLastSave="0" documentId="13_ncr:1_{0EE89F47-AF50-428A-82EE-AB4FE152BECE}" xr6:coauthVersionLast="47" xr6:coauthVersionMax="47" xr10:uidLastSave="{00000000-0000-0000-0000-000000000000}"/>
  <bookViews>
    <workbookView xWindow="-108" yWindow="-108" windowWidth="23256" windowHeight="13896" activeTab="1" xr2:uid="{00000000-000D-0000-FFFF-FFFF00000000}"/>
  </bookViews>
  <sheets>
    <sheet name="À faire ce mois" sheetId="1" r:id="rId1"/>
    <sheet name="Suivi simple" sheetId="2" r:id="rId2"/>
    <sheet name="Référentiel" sheetId="3" r:id="rId3"/>
  </sheets>
  <definedNames>
    <definedName name="_xlnm._FilterDatabase" localSheetId="0" hidden="1">'À faire ce mois'!$A$1:$F$3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7" i="2" l="1"/>
  <c r="N235" i="2"/>
  <c r="T235" i="2" s="1"/>
  <c r="N234" i="2"/>
  <c r="T234" i="2" s="1"/>
  <c r="N233" i="2"/>
  <c r="T233" i="2" s="1"/>
  <c r="N232" i="2"/>
  <c r="T232" i="2" s="1"/>
  <c r="N231" i="2"/>
  <c r="T231" i="2" s="1"/>
  <c r="N230" i="2"/>
  <c r="T230" i="2" s="1"/>
  <c r="N229" i="2"/>
  <c r="T229" i="2" s="1"/>
  <c r="N228" i="2"/>
  <c r="T228" i="2" s="1"/>
  <c r="N227" i="2"/>
  <c r="T227" i="2" s="1"/>
  <c r="N226" i="2"/>
  <c r="T226" i="2" s="1"/>
  <c r="N225" i="2"/>
  <c r="T225" i="2" s="1"/>
  <c r="N224" i="2"/>
  <c r="T224" i="2" s="1"/>
  <c r="N223" i="2"/>
  <c r="T223" i="2" s="1"/>
  <c r="N222" i="2"/>
  <c r="T222" i="2" s="1"/>
  <c r="N221" i="2"/>
  <c r="T221" i="2" s="1"/>
  <c r="N220" i="2"/>
  <c r="T220" i="2" s="1"/>
  <c r="N219" i="2"/>
  <c r="T219" i="2" s="1"/>
  <c r="N218" i="2"/>
  <c r="T218" i="2" s="1"/>
  <c r="N217" i="2"/>
  <c r="T217" i="2" s="1"/>
  <c r="N216" i="2"/>
  <c r="T216" i="2" s="1"/>
  <c r="N215" i="2"/>
  <c r="T215" i="2" s="1"/>
  <c r="N214" i="2"/>
  <c r="T214" i="2" s="1"/>
  <c r="N213" i="2"/>
  <c r="T213" i="2" s="1"/>
  <c r="N212" i="2"/>
  <c r="T212" i="2" s="1"/>
  <c r="N211" i="2"/>
  <c r="T211" i="2" s="1"/>
  <c r="N210" i="2"/>
  <c r="T210" i="2" s="1"/>
  <c r="N209" i="2"/>
  <c r="T209" i="2" s="1"/>
  <c r="N208" i="2"/>
  <c r="T208" i="2" s="1"/>
  <c r="N207" i="2"/>
  <c r="T207" i="2" s="1"/>
  <c r="N206" i="2"/>
  <c r="T206" i="2" s="1"/>
  <c r="N205" i="2"/>
  <c r="T205" i="2" s="1"/>
  <c r="N204" i="2"/>
  <c r="T204" i="2" s="1"/>
  <c r="N203" i="2"/>
  <c r="T203" i="2" s="1"/>
  <c r="N202" i="2"/>
  <c r="T202" i="2" s="1"/>
  <c r="N201" i="2"/>
  <c r="T201" i="2" s="1"/>
  <c r="N200" i="2"/>
  <c r="T200" i="2" s="1"/>
  <c r="N199" i="2"/>
  <c r="T199" i="2" s="1"/>
  <c r="N198" i="2"/>
  <c r="T198" i="2" s="1"/>
  <c r="N197" i="2"/>
  <c r="T197" i="2" s="1"/>
  <c r="N196" i="2"/>
  <c r="T196" i="2" s="1"/>
  <c r="N195" i="2"/>
  <c r="T195" i="2" s="1"/>
  <c r="N194" i="2"/>
  <c r="T194" i="2" s="1"/>
  <c r="N193" i="2"/>
  <c r="T193" i="2" s="1"/>
  <c r="N192" i="2"/>
  <c r="T192" i="2" s="1"/>
  <c r="N191" i="2"/>
  <c r="T191" i="2" s="1"/>
  <c r="N190" i="2"/>
  <c r="T190" i="2" s="1"/>
  <c r="N189" i="2"/>
  <c r="T189" i="2" s="1"/>
  <c r="N188" i="2"/>
  <c r="T188" i="2" s="1"/>
  <c r="N187" i="2"/>
  <c r="T187" i="2" s="1"/>
  <c r="N186" i="2"/>
  <c r="T186" i="2" s="1"/>
  <c r="N185" i="2"/>
  <c r="T185" i="2" s="1"/>
  <c r="N184" i="2"/>
  <c r="T184" i="2" s="1"/>
  <c r="N183" i="2"/>
  <c r="T183" i="2" s="1"/>
  <c r="N182" i="2"/>
  <c r="T182" i="2" s="1"/>
  <c r="N181" i="2"/>
  <c r="T181" i="2" s="1"/>
  <c r="N180" i="2"/>
  <c r="T180" i="2" s="1"/>
  <c r="N179" i="2"/>
  <c r="T179" i="2" s="1"/>
  <c r="N178" i="2"/>
  <c r="T178" i="2" s="1"/>
  <c r="N177" i="2"/>
  <c r="T177" i="2" s="1"/>
  <c r="N176" i="2"/>
  <c r="T176" i="2" s="1"/>
  <c r="N175" i="2"/>
  <c r="T175" i="2" s="1"/>
  <c r="N174" i="2"/>
  <c r="T174" i="2" s="1"/>
  <c r="N173" i="2"/>
  <c r="T173" i="2" s="1"/>
  <c r="N172" i="2"/>
  <c r="T172" i="2" s="1"/>
  <c r="N171" i="2"/>
  <c r="T171" i="2" s="1"/>
  <c r="N170" i="2"/>
  <c r="T170" i="2" s="1"/>
  <c r="N169" i="2"/>
  <c r="T169" i="2" s="1"/>
  <c r="N168" i="2"/>
  <c r="T168" i="2" s="1"/>
  <c r="N167" i="2"/>
  <c r="T167" i="2" s="1"/>
  <c r="N166" i="2"/>
  <c r="T166" i="2" s="1"/>
  <c r="N165" i="2"/>
  <c r="T165" i="2" s="1"/>
  <c r="N164" i="2"/>
  <c r="T164" i="2" s="1"/>
  <c r="N163" i="2"/>
  <c r="T163" i="2" s="1"/>
  <c r="N162" i="2"/>
  <c r="T162" i="2" s="1"/>
  <c r="N161" i="2"/>
  <c r="T161" i="2" s="1"/>
  <c r="N160" i="2"/>
  <c r="T160" i="2" s="1"/>
  <c r="N159" i="2"/>
  <c r="T159" i="2" s="1"/>
  <c r="N158" i="2"/>
  <c r="T158" i="2" s="1"/>
  <c r="N157" i="2"/>
  <c r="T157" i="2" s="1"/>
  <c r="N156" i="2"/>
  <c r="T156" i="2" s="1"/>
  <c r="N155" i="2"/>
  <c r="T155" i="2" s="1"/>
  <c r="N154" i="2"/>
  <c r="T154" i="2" s="1"/>
  <c r="N153" i="2"/>
  <c r="T153" i="2" s="1"/>
  <c r="N152" i="2"/>
  <c r="T152" i="2" s="1"/>
  <c r="N151" i="2"/>
  <c r="T151" i="2" s="1"/>
  <c r="N150" i="2"/>
  <c r="T150" i="2" s="1"/>
  <c r="N149" i="2"/>
  <c r="T149" i="2" s="1"/>
  <c r="N148" i="2"/>
  <c r="T148" i="2" s="1"/>
  <c r="N147" i="2"/>
  <c r="T147" i="2" s="1"/>
  <c r="N146" i="2"/>
  <c r="T146" i="2" s="1"/>
  <c r="N145" i="2"/>
  <c r="T145" i="2" s="1"/>
  <c r="N144" i="2"/>
  <c r="T144" i="2" s="1"/>
  <c r="N143" i="2"/>
  <c r="T143" i="2" s="1"/>
  <c r="N142" i="2"/>
  <c r="T142" i="2" s="1"/>
  <c r="N141" i="2"/>
  <c r="T141" i="2" s="1"/>
  <c r="N140" i="2"/>
  <c r="T140" i="2" s="1"/>
  <c r="N139" i="2"/>
  <c r="T139" i="2" s="1"/>
  <c r="N138" i="2"/>
  <c r="T138" i="2" s="1"/>
  <c r="N137" i="2"/>
  <c r="T137" i="2" s="1"/>
  <c r="N136" i="2"/>
  <c r="T136" i="2" s="1"/>
  <c r="N135" i="2"/>
  <c r="T135" i="2" s="1"/>
  <c r="N134" i="2"/>
  <c r="T134" i="2" s="1"/>
  <c r="N133" i="2"/>
  <c r="T133" i="2" s="1"/>
  <c r="N132" i="2"/>
  <c r="T132" i="2" s="1"/>
  <c r="N131" i="2"/>
  <c r="T131" i="2" s="1"/>
  <c r="N130" i="2"/>
  <c r="T130" i="2" s="1"/>
  <c r="N129" i="2"/>
  <c r="T129" i="2" s="1"/>
  <c r="N128" i="2"/>
  <c r="T128" i="2" s="1"/>
  <c r="N127" i="2"/>
  <c r="T127" i="2" s="1"/>
  <c r="N126" i="2"/>
  <c r="T126" i="2" s="1"/>
  <c r="N125" i="2"/>
  <c r="T125" i="2" s="1"/>
  <c r="N124" i="2"/>
  <c r="T124" i="2" s="1"/>
  <c r="N123" i="2"/>
  <c r="T123" i="2" s="1"/>
  <c r="N122" i="2"/>
  <c r="T122" i="2" s="1"/>
  <c r="N121" i="2"/>
  <c r="T121" i="2" s="1"/>
  <c r="N120" i="2"/>
  <c r="T120" i="2" s="1"/>
  <c r="N119" i="2"/>
  <c r="T119" i="2" s="1"/>
  <c r="N118" i="2"/>
  <c r="T118" i="2" s="1"/>
  <c r="N117" i="2"/>
  <c r="T117" i="2" s="1"/>
  <c r="N116" i="2"/>
  <c r="T116" i="2" s="1"/>
  <c r="N115" i="2"/>
  <c r="T115" i="2" s="1"/>
  <c r="N114" i="2"/>
  <c r="T114" i="2" s="1"/>
  <c r="N113" i="2"/>
  <c r="T113" i="2" s="1"/>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6" i="2"/>
  <c r="D5" i="1" l="1" a="1"/>
  <c r="D5" i="1" s="1"/>
  <c r="B5" i="1" a="1"/>
  <c r="B5" i="1" s="1"/>
  <c r="E5" i="1" a="1"/>
  <c r="E5" i="1" s="1"/>
  <c r="F5" i="1" a="1"/>
  <c r="F5" i="1" s="1"/>
  <c r="A5" i="1" a="1"/>
  <c r="A5" i="1" s="1"/>
  <c r="C5" i="1" a="1"/>
  <c r="C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<sst xmlns="http://schemas.openxmlformats.org/spreadsheetml/2006/main" count="544" uniqueCount="389">
  <si>
    <t>Vue dynamique : cette feuille se met à jour automatiquement selon la date du jour. Elle affiche les retards, les échéances ≤ 30 jours et les déclenchements conditionnels à surveiller.</t>
  </si>
  <si>
    <t>🔴 En retard   •   🟠 À déclencher   •   🟡 À préparer   •   🟢 À jour   •   ⚪ À surveiller / qualifier</t>
  </si>
  <si>
    <t>Convention</t>
  </si>
  <si>
    <t>Service</t>
  </si>
  <si>
    <t>Responsable</t>
  </si>
  <si>
    <t>Échéance / déclencheur</t>
  </si>
  <si>
    <t>Alerte</t>
  </si>
  <si>
    <t>Action</t>
  </si>
  <si>
    <t>SUIVI SIMPLE DES CONVENTIONS ET COMITÉS DE SUIVI</t>
  </si>
  <si>
    <t>Principe : 1 ligne = 1 convention. Mettre à jour seulement « Dernier comité » et « Responsable ». Les alertes indiquent la priorité d'action.</t>
  </si>
  <si>
    <t>Dernier comité</t>
  </si>
  <si>
    <t>Prochaine échéance</t>
  </si>
  <si>
    <t>اتفاقية شراكة مع قرية الاطفال المسعفين بأكادير لدعم تسيير قرية الاطفال المسعفين بأكادير من أجل تعزيز خدماتها الاجتماعية.</t>
  </si>
  <si>
    <t>-</t>
  </si>
  <si>
    <t>اتفاقية شراكة مع العصبة المغربية لحماية الطفولة للمساهمة في تسيير مركز للا آمنة للأطفال في وضعية صعبة بأيت ملول</t>
  </si>
  <si>
    <t>كلما دعت الضرورة إلى ذلك</t>
  </si>
  <si>
    <t>اتفاقية شراكة من اجل بناء وتجهيز مركب اجتماعي- تربوي لفائدة الأطفال ذوي الاحتياجات الخاصة المحرومين من الأسر</t>
  </si>
  <si>
    <t>اتفاقية شراكة بشأن برنامج توفير الدعم المالي واللوجستيكي للمركز الوطني محمد السادس للمعاقين -الملحقة الجهوية بأكادير"</t>
  </si>
  <si>
    <t>اتفاقية شراكة من أجل بناء مساكن وظيفية لعناصر الدرك الملكي</t>
  </si>
  <si>
    <t>مرة كل ثلاثة أشهر على الأقل، وكلما دعــت الضرورة لذلك</t>
  </si>
  <si>
    <t>اتفـــاقية شــراكـــةمن اجل تأهيل وتجهيز مؤسسة دار التكافل للأشخاص المسنين بايت ملول</t>
  </si>
  <si>
    <t>اتفاقية شراكة لاقتناء سيارات النقل المدرسي بعمالات وأقاليم جهة سوس ماسة</t>
  </si>
  <si>
    <t>بصفة منتظمة، أو كلما دعت الضرورة إلى ذلك</t>
  </si>
  <si>
    <t>اتفاقية شراكة من أجل بناء مرافق إدارية بإقامة الطالبة الجامعية باكادير</t>
  </si>
  <si>
    <t>كلما دعت الضرورة لذلك</t>
  </si>
  <si>
    <t>اتفاقية شراكة مع جمعية إقامة الطالبة أكادير</t>
  </si>
  <si>
    <t>اتفاقية شراكة من أجل تجهيز المركز الجهوي الاجتماعي والتربوي وشبه الطبي والمهني للأشخاص في وضعية إعاقة بالقليعة</t>
  </si>
  <si>
    <t>بصفة منتظمة وكلما دعت الضرورة إلى ذلك</t>
  </si>
  <si>
    <t>اتفاقية شراكة مع مؤسسة للا سلمى للوقاية وعلاج السرطان لتمويل اقتناء أدوية ومواد صيدلية لعلاج السرطان</t>
  </si>
  <si>
    <t>Non précisé</t>
  </si>
  <si>
    <t>اتفاقية شراكة مع جمعية عملية البسمة بالمغرب</t>
  </si>
  <si>
    <t>مرتين في السنة أو كلما دعت الضرورة إلى ذلك</t>
  </si>
  <si>
    <t>اتفاقية الشراكة</t>
  </si>
  <si>
    <t>دورية الاجتماعات</t>
  </si>
  <si>
    <t>اتفاقية شراكة من أجل احداث فضاء لتنشيط السياحي و الصناعة التقليدية بإداوكنيضيف</t>
  </si>
  <si>
    <t>مرة في كل 6 أشهر وكلما دعت الضرورة إلى ذلك,</t>
  </si>
  <si>
    <t>اتفاقية شراكة إطار المتعلقة بمواكبة الفاعلين في قطاع الاقتصاد الاجتماعي و التضامني بالجهة</t>
  </si>
  <si>
    <t>مرة في كل ستة أشهر وكلما دعت الضرورة إلى دلك</t>
  </si>
  <si>
    <t>اتفاقية شراكة خاصة متعلقة بالتمكين الاقتصادي للنساء بجهة سوس ماسة في قطاع الاقتصاد الاجتماعي و التضامني</t>
  </si>
  <si>
    <t>مرة كل ستة أشهر وكلما دعت الضرورة الى دلك.</t>
  </si>
  <si>
    <t>اتفاقية شراكة من أجل تنظيم المعارض والأسواق المتنقلة لمنتوجات الاقتصاد الاجتماعي والتضامني</t>
  </si>
  <si>
    <t>اتفاقية شراكة من أجل دعم التعاونيات التابعة لعمالات وأقاليم جهة سوس ماسة المنتقاة في إطار الجائزتين الوطنيتين "لالة المتعاونة"و"الجيل المتضامن"</t>
  </si>
  <si>
    <t>عند التهييء للجائزتين وكلما دعت الضرورة إلى دلك</t>
  </si>
  <si>
    <t>اتفاقية شراكة من أجل تنظيم المعرض الدولي للمنتوجات المحلية بجهة سوس ماسة</t>
  </si>
  <si>
    <t>قبل تنظيم المعرض وكلما دعت الضرورة الى دلك</t>
  </si>
  <si>
    <t>اتفاقية شراكة من أجل تنظيم المعارض الإقليمية للصناعة التقليدية بجهة سوس ماسة</t>
  </si>
  <si>
    <t>لتهيء كل المعارض الإقليمية ومواكبة تنظيمها</t>
  </si>
  <si>
    <t>اتفاقية شراكة من أجل تنظيم المعرض الجهوي للصناعة التقليدية بجهة سوس ماسة</t>
  </si>
  <si>
    <t>لانتقاء العارضين ولتهيء المعرض الجهوي ومواكبة تنظيمه</t>
  </si>
  <si>
    <t>اتفاقية شراكة مع جمعية سوس ماسة تسويق بشأن التمكين الاقتصادي للنساء والشباب في ميدان قطاع الاقتصاد الاجتماعي والتضامني</t>
  </si>
  <si>
    <t>مرة كل ستة أشهر وكلما دعت الضرورة إلى دلك</t>
  </si>
  <si>
    <t>اتفاقية شراكة من أجل مواكبة الصناع التقليديين والتعاونيات الحرفية بجهة سوس ماسة في مجال تقوية وتعزيز قدراتهم الحرفية واقتناء المعدات والمواد الأولية</t>
  </si>
  <si>
    <t>مرة كل شهرين وكاما دعت الضرورة إلى دلك</t>
  </si>
  <si>
    <t>اتفاقية شراكة تتعلق بإحداث مركب حرفي للفخارة بتزنيت</t>
  </si>
  <si>
    <t>مرة كل ستة أشهر وكلما دعت الضرورة إلى ذلك</t>
  </si>
  <si>
    <t>اتفاقية شراكة من اجل دعـم أنـدية كـرة القـدم بجهة سوس ماسة</t>
  </si>
  <si>
    <t>مرة واحدة</t>
  </si>
  <si>
    <t>اتفاقية شراكة مع نادي اولامبيك الدشيرة</t>
  </si>
  <si>
    <t>اتفاقية مع الإتحاد الرياضي لحسنية أكادير لكرة القدم</t>
  </si>
  <si>
    <t>اتفاقية شراكة مع نادي رجاء اكادير لكرة اليد</t>
  </si>
  <si>
    <t>اتفاقية شراكة إحداث مركز جامعي في كرة القدم بتارودانت</t>
  </si>
  <si>
    <t>مرة كل 3 اشهر و كلما دعت الضرورة لدلك</t>
  </si>
  <si>
    <t>اتفاقية شراكة مع نادي اولمبيك الدشيرة</t>
  </si>
  <si>
    <t>اتفاقية شراكة مع نادي امل تزنيت لكرة اليد</t>
  </si>
  <si>
    <t>اتفاقية شراكة لتاهيل و تعشيب و تجهيز ملعب القرب بدوار تدايغت بجماعة الركادة</t>
  </si>
  <si>
    <t>اتفاقية شراكة لتاهيل ملاعب و مرافق النادي الملكي لكرة المضرب باكادير</t>
  </si>
  <si>
    <t>اتفاقية شراكة من أجل بناء مركب سوسيو رياضي بجماعة الكردان</t>
  </si>
  <si>
    <t>مرة كل ثلات اشهر</t>
  </si>
  <si>
    <t>اتفاقية شراكة تتعلق بدعـم أنـدية كـرة القـدم بجهة سوس ماسة</t>
  </si>
  <si>
    <t>اتفاقية شراكة مع النادي الرياضي الحسنية أكادير لكرة القدم</t>
  </si>
  <si>
    <t>اتفاقية شراكة مع نادي اولمبيك الدشيرة فرع كرة القدم</t>
  </si>
  <si>
    <t>اتــفـاقــيـة شراكة بين جهة سوس ماسة ونادي رجاء ايت ايعزة لكرة القدم النسوية</t>
  </si>
  <si>
    <t>اتفاقية شراكة مع الجمعية الرياضية صقر أكادير لكرة القدم داخل القاعة</t>
  </si>
  <si>
    <t>اتــفـاقــيـة شراكة بين جهة سوس ماسة ونادي مولودية تيزنيت لكرة الطائرة</t>
  </si>
  <si>
    <t>اتــفـاقــيـة شراكة بين جهة سوس ماسة ونادي أمل تزنيت لكرة اليد</t>
  </si>
  <si>
    <t>اتــفـاقــيـة شراكة بين جهة سوس ماسة ونادي رجاء اكادير لكرة اليد</t>
  </si>
  <si>
    <t>اتــفـاقــيـة شراكة بين جهة سوس ماسة و جمعية نجاح سوس أكادير فرع كرة الطائرة</t>
  </si>
  <si>
    <t>اتفاقية شراكة و تعاون من أجل تنظيم الندوات والتظاهرات الرياضية بجهة سوس ماسة</t>
  </si>
  <si>
    <t>كلما دعت الضرورة الى ذلك</t>
  </si>
  <si>
    <t>اتفاقية شراكة من أجل إعادة تأهيل مرافق نادي تنس تارودانت</t>
  </si>
  <si>
    <t>مرة واحدة في السنة</t>
  </si>
  <si>
    <t>اتفاقية شراكة من أجل بناء و تأهيل المنشآت الرياضية بأولاد تايمة</t>
  </si>
  <si>
    <t>مرة كل تلاث اشهر</t>
  </si>
  <si>
    <t>اتفاقية شراكة من أجل المساهمة في إحداث و تجهيز ملاعب القرب بدواوير جماعة اداوكماض</t>
  </si>
  <si>
    <t>اتفاقية شراكة إحداث مركب رياضي بمركز جماعة اكيدي بدائرة تالوين</t>
  </si>
  <si>
    <t>اتفاقية شراكة تتعلق بدعـم أندية عصبة سوس ماسة لكرة السلة</t>
  </si>
  <si>
    <t>اتفاقية شراكة تتعلق بدعـم أندية عصبة سوس ماسة للريكبي</t>
  </si>
  <si>
    <t>اتفاقية شراكة تتعلق بدعـم أندية عصبة سوس ماسة لكرة اليد</t>
  </si>
  <si>
    <t>اتفاقية شراكة تتعلق بدعـم أندية عصبة سوس ماسة لكرة الطائرة</t>
  </si>
  <si>
    <t>اتفاقية شراكة مع جمعية النادي البلدي رجاء أكادير لكرة القدم داخل القاعة</t>
  </si>
  <si>
    <t>اتــفـاقــيـة شراكة بين جهة سوس ماسة وجمعية نجاح سوس اكادير فرع الكرة الطائرة</t>
  </si>
  <si>
    <t>اتفاقية شراكة من أجل بناء الملعب البلدي لكرة القدم و ملاعب للقرب للرياضة الجماعية بنفوذ جماعة فم زكيد</t>
  </si>
  <si>
    <t>مرة كل 6 أشهر</t>
  </si>
  <si>
    <t>إتفاقية شراكة من أجل بناء ملعب القرب العساكرة بجماعة إكلي إقليم تارودانت؛</t>
  </si>
  <si>
    <t>مرة كل تلاث أشهر</t>
  </si>
  <si>
    <t>إتفاقية شراكة من أجل بناء ملعب القرب بجماعة أولاد برحيل بإقليم تارودانت؛</t>
  </si>
  <si>
    <t>إتفاقية شراكة مع عصبة سوس ماسة درعة لألعاب القوى؛</t>
  </si>
  <si>
    <t>اتفاقية شراكة لانجاز ملعب القرب بجماعة ايغرم</t>
  </si>
  <si>
    <t>اتفاقية شراكة من أجل بناء ملعب القرب عين سيدي بلقاسم بجماعة التمسية</t>
  </si>
  <si>
    <t>اتفاقية الشراكة لانجاز ملعب القرب بدوار الدير جماعة اكلي إقليم تارودانت</t>
  </si>
  <si>
    <t>اتفاقية الشراكة لانجاز ملعب القرب بجماعة امسكرود بعمالة اكادير اداوتنان</t>
  </si>
  <si>
    <t>اتفاقية شراكة مع النادي الاتحاد الرياضي امل تزنيت لكرة القدم</t>
  </si>
  <si>
    <t>اتــفـاقــيـة شراكة بين جهة سوس ماسة و النادي الملكي لكرة المضرب اكادير</t>
  </si>
  <si>
    <t>ملحق رقم 1لاتفاقية شراكة مع نادي اولمبيك الدشيرة فرع كرة القدم</t>
  </si>
  <si>
    <t>اتفاقية اطار لانجاز مشروع تأهيل ملعب احمد فانا بجماعة الدشيرة الجهادية</t>
  </si>
  <si>
    <t>كل 6 أشهر على الأقل</t>
  </si>
  <si>
    <t>اتفاقية شراكة مهرجان تيمتار</t>
  </si>
  <si>
    <t>شهر فبراير و شهر أكتوبر</t>
  </si>
  <si>
    <t>اتفاقية شراكة للمساهمة في تنظيم المهرجان الدولي السينما والهجرة</t>
  </si>
  <si>
    <t>مرة في السنة وكلما دعت الضرورة لدلك</t>
  </si>
  <si>
    <t>اتفاقية شراكة للمشاركة في معرض الفرس بالجديدة</t>
  </si>
  <si>
    <t>اتفاقية شراكة مع جمعية صبار للفروسية التقليدية</t>
  </si>
  <si>
    <t>بعد تنظيم دورة معرض الفرس</t>
  </si>
  <si>
    <t>اتفاقية شراكة مع جمعية فرسان اكادير للفروسية و تربية الخيول</t>
  </si>
  <si>
    <t>اتفاقية شراكة لدعم برنامج "ثقافيات" للتكوين في مجال التدبير الثقافي والإبداعي بجهة سوس ماسة</t>
  </si>
  <si>
    <t>جمعية سنابل سوس انشادن للتبوريدة وتربية الخيول</t>
  </si>
  <si>
    <t>المساهمة في تنظيم التظاهرات الثقافية والفنية بالجهة</t>
  </si>
  <si>
    <t>اتفاقية شراكةمع جمعية مركز سوس للتنمية التقافية من أجل المساهمة في تنظيم المهرجانات بأقاليم و عمالات بالجهة</t>
  </si>
  <si>
    <t>اتفاقية شراكة من أجل المساهمة في تنظيم المهرجان الدولي تالكيتارت وتالويكاندت أكادير</t>
  </si>
  <si>
    <t>اتفاقية شراكة وتعاون بين جهة سوس ماسة وجمعية المهرجان الدولي للفيلم الامازيغي اسني ن ورغ</t>
  </si>
  <si>
    <t>اتفاقية شراكة وتعاون بين جهة سوس ماسة من أجل تنظيم تظاهرة « NOSTALGIA » بجهة سوس ماسة</t>
  </si>
  <si>
    <t>اتفاقية شراكة مع جمعية الفروسية التقليدية سوس ماسة بالدشيرة من اجل المشاركة في معرض الفرس بالجديدة</t>
  </si>
  <si>
    <t>اتفاقية شراكة وتعاون بين جهة سوس ماسة و جمعية مهرجان إكودار من أجل تنظيم مهرجان إكودار بجماعة اداوكنيظيف</t>
  </si>
  <si>
    <t>اتفاقية شراكة من اجل المساهمة في تنظيم التظاهرات الثقافية والفنية بالجهة</t>
  </si>
  <si>
    <t>ملحق رقم 1 لاتفاقية شراكة بين جمعية معرض الفرس وجهة سوس ماسة من أجل تمثيل الجهة في معرض الفرس للجديدة</t>
  </si>
  <si>
    <t>ملحق رقم 1 لاتفاقية شراكة لدعم برنامج "ثقافيات" للتكوين في مجال التدبير الثقافي والإبداعي بجهة سوس ماسة</t>
  </si>
  <si>
    <t>ملحق رقم 1 لاتفاقية شراكة حول تنظيم وتسيير مهرجان " تيمتار"</t>
  </si>
  <si>
    <t>اتفاقية شراكــة و تعاون من أجل ترميم و تأهيل منارة و سور بجماعة ركادة</t>
  </si>
  <si>
    <t>مرة كل شهرين على الأقل</t>
  </si>
  <si>
    <t>اتفاقية شراكة و تعاون لترميم و تأهيل قصبة انزكان</t>
  </si>
  <si>
    <t>اتفاقية شراكة لانشاء مركز للتعريف بتراث المخازن الجماعية ايكودار باقليم اشتوكة أيت باها</t>
  </si>
  <si>
    <t>مرتين في السنة وكلما دعت الضرورة الى ذلك</t>
  </si>
  <si>
    <t>اتفاقية شراكة حول تأهيل و ترميم أكادير اغير افران باداوكنيظيف</t>
  </si>
  <si>
    <t>اتفاقية شراكــة لاستكمال ترميم و تأهيل وتدبير المركب التراثي أغناج بتزنيت</t>
  </si>
  <si>
    <t>اجتماعات دورية</t>
  </si>
  <si>
    <t>اتفاقية شراكة لاستكمال اشغال ترميم و تاهيل الجزء المتبقي من السور التاريخي لماسة</t>
  </si>
  <si>
    <t>بناء فضاء الداكرة التاريخية للمقاومة و التحرير لفم ازكيد</t>
  </si>
  <si>
    <t>ملحق اتفاقية شراكة لتهيئة و تجهيز"دار الفنون"باكادير</t>
  </si>
  <si>
    <t>مرة واحدة على الأقل كل ثلاثة أشهر وكلما دعت الضرورة الى ذلك</t>
  </si>
  <si>
    <t>استكمال اشغال تهيئة و تجهيز مدرج المركب الثقافي الكردان</t>
  </si>
  <si>
    <t>تجهيز المركز الثقافي بجماعة القليعة</t>
  </si>
  <si>
    <t>اتفاقية شراكة وتعاونمن أجل المساهمة في استكمال اشغال تهيئة وتجهيز المركب الثقافي بجماعة إيغرم</t>
  </si>
  <si>
    <t>اتفاقیة شراكة متعلقة بالمساھمة في تنظیم تغازوت سورف اكسبو</t>
  </si>
  <si>
    <t>تجتمع ھذه اللجنة قبل موعد تنظیم التظاھرة بشھریین على األقل وبعد تنظیمھ بشھرین على األكثر وكلما دعت الضرورة إلى ذلك</t>
  </si>
  <si>
    <t>اتفاقیة شراكة من أجل الترویج السیاحي لجھة سوس ماسة</t>
  </si>
  <si>
    <t>تجتمع ھذه اللجنة قبل صرف اي دفعة بدعوة من رئیسھا وكلما دعت الضرورة إلى ذلك</t>
  </si>
  <si>
    <t>اتفاقیة شراكة متعلقة بتجدید وإعادة تأھیل الوحدات الفندقیة</t>
  </si>
  <si>
    <t>كل ستة اشھر</t>
  </si>
  <si>
    <t>اتفاقیة شراكة من اجل تكلیف شركة التنمیة السیاحیة لسوس ماسة بانجاز الدراسات واالشغال المتعلقة بتنمیة القطاع السیاحي خصوصا في المناطق الخلفیة لجھة سوس ماسة</t>
  </si>
  <si>
    <t>مرة كل ثالثة أشھر</t>
  </si>
  <si>
    <t>اتفاقیة الشراكة المتعلقة بتكلیف شركة التنمیة الجھویة "التنمیة السیاحیة لسوس ماسة " بإنجاز الدراسات و االشغال المتعلقة بتنمبة القطاع السیاحي خصوصا في المناطق الخلفیة لجھة سوس ماسة</t>
  </si>
  <si>
    <t>كل ستة اشھر و كلما دعت الضرورة الى ذلك</t>
  </si>
  <si>
    <t>اتفاقیة شراكة متعلقة بتھیئة منطقة مخصصة الستقبال االستثمارات بجماعة امسوان</t>
  </si>
  <si>
    <t>3 اشھر و كلما دعت الضروروة الى ذلك</t>
  </si>
  <si>
    <t>اتفاقیة الشراكة المتعلقة بتھیئة "نقطة أنشور بتغازوت الستقبال االستثمارات السیاحیة "</t>
  </si>
  <si>
    <t>كل ثالثة أشھر</t>
  </si>
  <si>
    <t>اتفاقیة شراكة من اجل تھیئة كورنیش تغازوت</t>
  </si>
  <si>
    <t>اتفاقیة شراكة بین وزارة السیاحة و الصناعة التقلیدیة و االقتصاد االجتماعي و التضامني و جھة سوس ماسة و المجالس اإلقلیمیة للسیاحة بالجھة</t>
  </si>
  <si>
    <t>اتفاقیة الشراكة بین جھة سوس ماسة والجامعة الملكیة المغربیة لركوب االمواج</t>
  </si>
  <si>
    <t>قبل موعد تنظیم التظاھرات وبعد تنظیمھا بشھرین على األكثر</t>
  </si>
  <si>
    <t>لم یعقد اي اجتماع</t>
  </si>
  <si>
    <t>اتفاقیة شراكة بین جھة سوس ماسة وجمعیة التكنولوجیا الزراعیة لسوس ماسة</t>
  </si>
  <si>
    <t>كل ستة أشھر بدعوة من رئیسھا وكلما دعت الضرورة إلى ذلك</t>
  </si>
  <si>
    <t>اتفاقیة شراكة من أجل توسیع برنامج السقي الذكي</t>
  </si>
  <si>
    <t>6 اشھر</t>
  </si>
  <si>
    <t>اتفاقیة شراكة من أجل تمویل مشاریع البحث العلمي بقطاع البستنة تماشیا مع التوجھات االستراتیجیة لمجلس جھة سوس ماسة في تدبیر الماء</t>
  </si>
  <si>
    <t>2027</t>
  </si>
  <si>
    <t>مشروع إتفاقیة شراكة بین جھة سوس ماسة وجمعیة أكادیر ألیوبول؛</t>
  </si>
  <si>
    <t>اتفاقیة شراكة إلنشاء مشاریع تربیة األحیاء البحریة مع مجموعة الشباب المقاول "شركة اكوا مول"</t>
  </si>
  <si>
    <t>كل شھرین على األقل</t>
  </si>
  <si>
    <t>سیتم برمجة االجتماع بعد التوصل بتقریر حول حالة تقدم المشروع</t>
  </si>
  <si>
    <t>اتفاقیة شراكة إلنشاء مشاریع تربیة األحیاء البحریة مع مجموعة الشباب المقاول "شركة بلو ھارفست"؛</t>
  </si>
  <si>
    <t>اتفاقیة شراكة القتناء وتجھیز منصة عائمة لتعبئة و تثمین منتوجات تربیة األحیاء البحریة بین جھة سوس ماسة و الوكالة الوطنیة لتنمیة تربیة األحیاء البحریة وتعاونیة أكواكول سوس ماسة</t>
  </si>
  <si>
    <t>غیر محدد</t>
  </si>
  <si>
    <t>اتفاقیة شراكة بین جھة سوس ماسة ، الوكالة الوطنیة لتنمیة تربیة االحیاء البحریة وشركة لفیكتوار سیفود</t>
  </si>
  <si>
    <t>6 أشھر وكلما دعت الضرورة إلى ذلك.</t>
  </si>
  <si>
    <t>اتفاقیة شراكة بین جھة سوس ماسة ، الوكالة الوطنیة لتنمیة تربیة االحیاء البحریة وشركة كباكوا</t>
  </si>
  <si>
    <t>اتفاقیة شراكة من أجل تھیئة قطب لتثمین منتوجات االحیاء البحریة -اكوابول تیغرت - في منطقة تیغرت – ایمي ودار</t>
  </si>
  <si>
    <t>3 اشھر</t>
  </si>
  <si>
    <t>اتفاقیة شراكة بین الجھة و جمعیة لوجیبول سوس ماسة</t>
  </si>
  <si>
    <t>مرة في السنة</t>
  </si>
  <si>
    <t>اتفاقیة شراكة حول إحداث تیكنوبارك بمدینة تیزنیت</t>
  </si>
  <si>
    <t>تجتمع مرة في الشھر وكلما دعت الضرورة لذلك</t>
  </si>
  <si>
    <t>في انتظار برمجة اجتماع من طرف جماعة تزنیت باعتبارھا رئیسة لجنة التتبع</t>
  </si>
  <si>
    <t>اتفاقیة شراكة من اجل دعم تدبیر واستغالل تكنوبارك اكادیر</t>
  </si>
  <si>
    <t>كل 6 أشھر وكلما دعت الضرورة لذلك</t>
  </si>
  <si>
    <t>االربعاء 08 یولیوز 2026</t>
  </si>
  <si>
    <t>اتفاقیة شراكة من اجل احداث وتدبیر مركز لتكوین الشباب في مجال JADARA البرمجة الرقمیة بجھة سوس ماسة</t>
  </si>
  <si>
    <t>الخمیس 09 یولیوز 2026</t>
  </si>
  <si>
    <t>اتفاقیة شراكة من أجل دعم تدبیر و تنشیط مدینة االبتكار سوس ماسة</t>
  </si>
  <si>
    <t>مرة كل 6 أشھر أو كلما دعت الضرورة الى ذلك</t>
  </si>
  <si>
    <t>الجمعة 10 یولیوز 2026</t>
  </si>
  <si>
    <t>اتفاقیة شراكة من أجل دعم تكوین و ادماج الشباب في مجل مھن School Digital - الرقمنة بجھة سوس ماسة</t>
  </si>
  <si>
    <t>كل 3 اشھر و كلما ادعت الضرورة</t>
  </si>
  <si>
    <t>تمت مراسلة السید الوالي من اجل برمجة اجتماع لجنة التتبع ارسالیة عدد 842 بتاریخ 10 یونیو 2026</t>
  </si>
  <si>
    <t>اتفاقیة شراكة خاصة بتجھیز واستغالل وتدبیر تكنوبارك تیزنیت</t>
  </si>
  <si>
    <t>في انتظار توقیع االتفاقیة من طرف وزارة االنتقال الرقمي و اصالح االدارة</t>
  </si>
  <si>
    <t>اتفاقیة اطار الشراكة لتعزیز البحث العلمي و التكوین واالبتكار في مجال تدبیر الموارد المائیة</t>
  </si>
  <si>
    <t>في انتظار استكمال التوقیعات من طرف باقي االطراف</t>
  </si>
  <si>
    <t>اتفاقیة شراكة وتعاون مع جمعیة مبادرة سوس ماسة</t>
  </si>
  <si>
    <t>كل 6 أشھر و كلما دعت الضرورة الى ذلك</t>
  </si>
  <si>
    <t>-09-2026 21</t>
  </si>
  <si>
    <t>اتفاقیة شراكة الحداث منطقة االنشطة االقتصادیة بمدینة طاطا</t>
  </si>
  <si>
    <t>كل شھر أو كلما دعت الضرورة إلى ذلك</t>
  </si>
  <si>
    <t>مراسلة السید الوالي</t>
  </si>
  <si>
    <t>اتفاقیة شراكة النجاز محطة تصفیة المیاه العادمة بالمنطقة الصناعیة اوالد تایمة</t>
  </si>
  <si>
    <t>تجتمع ھذه اللجنة مرة كل شھر أو كلما دعت الضرورة إلى ذلك</t>
  </si>
  <si>
    <t>مراسلة السید العامل</t>
  </si>
  <si>
    <t>اتفاقیة شراكة من اجل دعم االستثمار بجھة سوس ماسة في إطار مخطط التسریع الصناعي لفائدة شركة "VETCAM"</t>
  </si>
  <si>
    <t>اتفاقیة شراكة من اجل انجاز برنامج دعم الشباب لخلق وتطویر انشطة مقاوالتیة صغیرة جدا بجھة سوس ماسة TPE</t>
  </si>
  <si>
    <t>مرة كل 6 أشھر أو كلما دعت الضرورة إلى ذلك</t>
  </si>
  <si>
    <t>اتفاقیة شراكة من اجل برنامج دعم الشباب لخلق وتطویر انشطة مدرة للدخل AGR</t>
  </si>
  <si>
    <t>اتفاقیة شراكة متعلقة بالمساھمة في تمویل احداث وتفعیل الیة لدعم ومواكبة تسریع تطور المقاوالت السیاحیة الصغرى والمتوسطة والصغیرة جدا بجھة سوس ماسة</t>
  </si>
  <si>
    <t>كل 6 أشھر أو كلما دعت الضرورة إلى ذلك</t>
  </si>
  <si>
    <t>اتفاقیة اشراكة من اجل انجاز البرنامج الجھوي المندمج لمواكبة المقاوالت الصغیرة و الصغیرة جدا بجھة سوس ماسة ABRID</t>
  </si>
  <si>
    <t>كل 3 أشھر وكلما دعت الضرورة لذلك</t>
  </si>
  <si>
    <t>اتفاقیة الشراكة من أجل دعم التشغیل بمنظومة ترحیل الخدمات بجھة سوس ماسة لفائدة شركة سیكوال</t>
  </si>
  <si>
    <t>كل 6 أشھر أو كلما دعت الضرورة الى ذلك</t>
  </si>
  <si>
    <t>اتفاقیة شراكة خاصة بتنزیل البرنامج الجھوي من أجل دعم التشغیل واالستثمار بجھة سوس ماسة</t>
  </si>
  <si>
    <t>اتفاقیة شراكة دعم ومواكبة األنشطة المدرة للدخل بإقلیم طاطا AGR</t>
  </si>
  <si>
    <t>اتفاقیة شراكة من أجل إعادة تأھیل المنطقة الصناعیة الیت ملول واحداث نظام تدبیري مستدام بھا</t>
  </si>
  <si>
    <t>اتفاقیة شراكة من أجل انجاز الشطر األول من المنطقة الصناعیة المندمجة والمستدامة بتارودانت</t>
  </si>
  <si>
    <t>اتفاقیة شراكة من أجل دعم االستثمار والتشغیل بجھة سوس ماسة لفائدة شركة SOMDOR</t>
  </si>
  <si>
    <t>اتفاقیة شراكة من أجل إ حداث وإنجاز وتسییر منطقة األنشطة االقتصادیة بجماعة ایت باھا إقلیم اشتوكة ایت</t>
  </si>
  <si>
    <t>اتفاقیة شراكة لدعم مستغلي مشروع باب المرسى</t>
  </si>
  <si>
    <t>اتفاقیة اطار لتفعیل محور دعم التشغیل وانعاش المقاوالت</t>
  </si>
  <si>
    <t>اتفاقیة شراكة إطار من أجل انجاز مشروع المیناء الجاف بأكادیر sec port</t>
  </si>
  <si>
    <t>اتفاقیة شراكة انجاز محطات متنقلة لتحلیة میاه البحر وإزالة الملحة</t>
  </si>
  <si>
    <t>اتفـــاقیة شراكة من أجل إنجاز أشغال الحمایة من الفیضانات للسوق األسبوعي و الدواویر المجاورة بجماعة بونعمان بإقلیم تزنیت</t>
  </si>
  <si>
    <t>مرة كل شھرا</t>
  </si>
  <si>
    <t>10 أبریل 2025</t>
  </si>
  <si>
    <t>اتفاقیة شراكة و تعاون لتمویل و انجاز مشروع قناة تصریف میاه وادي أوركة للحمایة من خطر الفیضانات بجماعة أوالد دحو بعمالة انزكان أیت ملول و جماعة لكفیفات بإقلیم تارودانت</t>
  </si>
  <si>
    <t>3 أشھر</t>
  </si>
  <si>
    <t>24 أبریل 2024</t>
  </si>
  <si>
    <t>اتفـــاقیة شراكة تتعلق بأشغال الحمایة من الفیضانات لمركز الجماعة الترابیة بلفاع</t>
  </si>
  <si>
    <t>لم تنعقد بعد</t>
  </si>
  <si>
    <t>اتفاقیة متعلقة بإنجاز مشروع حمایة دوار أیت أمریبط ودوار الدشیرة من خطر الفیضانات بجماعة المعذر الكبیر إقلیم تیزنیت المقدم في إطار طلب المشاریع لسنة2022، الممولة من طرف‘’ صندوق مكافحة آثار الكوارث الطبیعیة.</t>
  </si>
  <si>
    <t>اتفاقیة شراكة إلنجاز مشروع حمایة جماعة أوالد عیسى من الفیضانات بإقلیم تارودانت</t>
  </si>
  <si>
    <t>اتفاقیة شراكة متعلقة بإنجاز مشروع حمایة مركز أنزي من الفیضانات بإقلیم تزنیت، المقدم في إطار طلب المشاریع لسنة 2021، الممولة من طرف "صندوق مكافحة آثار الكوارث الطبیعیة"</t>
  </si>
  <si>
    <t>مشروع حمایة دواویر اساكا، اسملیل، والد مراح، طاكینت من الفیضانات بجماعة الوكوم إقلیم طاطا المقدم في إطار طلب المشاریع لسنة 2021، الممولة من طرف "صندوق مكافحة آثار الكوارث الطبیعیة"</t>
  </si>
  <si>
    <t>تفـــاقیة شراكة تتعلق بأشغال الحمایة من الفیضانات بجماعة إســـن –إقلیم تارودانت</t>
  </si>
  <si>
    <t>مشروع حمایة واحة إسي أیت منصور من الفیضانات بجماعة أفال إغیر إقلیم تزنیت المقدم في إطار طلب المشاریع لسنة 2021، الممولة من طرف "صندوق مكافحة آثار الكوارث الطبیعیة"</t>
  </si>
  <si>
    <t>مشروع حمایة حي تمزارت من الفیضانات بجماعة ایت ملول، عمالة انزكان ایت ملول، المقدم في إطار طلب المشاریع لسنة2022، الممولة من طرف "صندوق مكافحة آثار الكوارث الطبیعیة"</t>
  </si>
  <si>
    <t>مشروع: حمایة مركز تامري من الفیضانات بجماعة تامري عمالة اكادیر ادا وتنان، المقدم في إطار طلب المشاریع لسنة2022، الممولة من طرف "صندوق مكافحة آثار الكوارث الطبیعیة"</t>
  </si>
  <si>
    <t>مشروع حمایة الدراركة من الفیضانات بعمالة أكادیر اداوتنان - الشطر الثاني- المقدم في إطار طلب المشاریع لسنة 2022،الممول من طرف "صندوق مكافحة آثار الكوارث الطبیعیة"</t>
  </si>
  <si>
    <t>مشروع حمایة مركز تیغمي من الفیضانات بإقلیم تزنیت، المقدم في إطار طلب المشاریع لسنة2022، الممول من طرف "صندوق مكافحة آثار الكوارث الطبیعیة"</t>
  </si>
  <si>
    <t>مشروع بناء حواجز للوقایة من الفیضانات لعدة دواویر بجماعة اداكوكمار بإقلیم تزنیت جھة سوس ماسة لمقدم في إطار طلب المشاریع لسنة2022، الممول من طرف صندوق الحد من آثار الكوارث الطبیعیة</t>
  </si>
  <si>
    <t>اتفاقیة متعلقة بإنجاز قنطرة على واد انكران بجماعة إذاكوكمار بإقلیم تزنیت الممول من طرف صندوق الحد من آثار الكوارث الطبیعیة لسنة 2022 عبر التمویل المباشر</t>
  </si>
  <si>
    <t>إنجاز مشروع حمایة جماعة تالوین من الفیضانات إقلیم تارودانت- الشطر الثاني-،الممول من طرف صندوق الحد من آثار الكوارث الطبیعیة لسنة 2022 عبر التمویل المباشر</t>
  </si>
  <si>
    <t>09 یولیوز 2025</t>
  </si>
  <si>
    <t>بإنجاز مشروع: الحمایة من الفیضانات لجماعة اسایس بإقلیم تارودانت ، المقدم في إطار طلب المشاریع لسنة2022، الممولة من طرف "صندوق مكافحة آثار الكوارث الطبیعیة"</t>
  </si>
  <si>
    <t>مشروع حمایة جماعة تالكجونت من الفیضانات بإقلیم تارودانت، المقدم في إطار طلب المشاریع لسنة2022، الممولة من طرف "صندوق مكافحة آثار الكوارث الطبیعیة"</t>
  </si>
  <si>
    <t>انجاز مشروع حمایة جماعة سیدي واعزیز من الفیضانات بإقلیم تارودانت، الممول من طرف "صندوق مكافحة آثارا لكوارث الطبیعیة" لسنة 2023 عبر التمویل المباشر</t>
  </si>
  <si>
    <t>انجاز مشروع حمایة مركز المعدر الكبیر من الفیضانات - الشطر الثاني- بإقلیم تیزنیت ،المقدم في إطار طلب المشاریع لسنة 2021 ، الممول من طرف "صندوق مكافحة آثارا لكوارث الطبیعیة"</t>
  </si>
  <si>
    <t>حمایة دوار امي نتاتلت من الفیضانات بجماعة ابن یعقوب بإقلیم طــاطـــا المقدم في إطار طلب المشاریع:سنة 2023، الممولة من طرف "صندوق مكافحة آثار الكوارث الطبیعیة"</t>
  </si>
  <si>
    <t>حمایة دواویر أكینان من خطر الفیضانات بجماعة أكینان بإقلیم طاطا، المقدم في إطار طلب المشاریع سنة 2023، الممولة من طرف "صندوق مكافحة آثار الكوارث الطبیعیة"</t>
  </si>
  <si>
    <t>مشروع حمایة المنطقة الغربیة من ایت ملول من مخاطر فیضانات واد سوس ایت ملول عمالة انزكان ایت ملول، المقدم في إطار طلب المشاریع لسنة2022، الممولة من طرف "صندوق مكافحة آثار الكوارث الطبیعیة"</t>
  </si>
  <si>
    <t>تكوین و تحسیس الساكنة على السلوك الفردي و الجماعي للحد من التعرض للفیضانات بإقلیم طاطا، المقدم في إطار طلب المشاریع لسنة2023 ، الممولة من طرف "صندوق مكافحة آثار الكوارث الطبیعیة"</t>
  </si>
  <si>
    <t>اتفاقیة شراكة من أجل تمویل وإنجاز مشروع الحمایة من الحرائق وتھیئة وتأھیل واحات طاطا</t>
  </si>
  <si>
    <t>اتفاقیة متعلقة بإنجاز مشروع أشغال الحمایة من الفیضانات بجماعة احمر لكاللشة في إطار طلب المشاریع 2024</t>
  </si>
  <si>
    <t>اتفاقیة متعلقة بإنجاز مشروع أشغال الوقایة من الفیضانات بجماعة أفال إغیر في إطار طلب المشاریع 2024</t>
  </si>
  <si>
    <t>01 أبریل 2026</t>
  </si>
  <si>
    <t>اتفاقیة متعلقة بإنجاز مشروع حمایة مركز أیت وافقا من الفیضانات بجماعة أیت وافقا في إطار طلب المشاریع2024</t>
  </si>
  <si>
    <t>اتفاقیة متعلقة بإنجاز مشروع الحمایة من خطر الفیضانات لكامل جماعة تركانتوشكا في إطار طلب المشاریع 2024</t>
  </si>
  <si>
    <t>16 أبریل 2026</t>
  </si>
  <si>
    <t>اتفاقیة متعلقة بإنجاز مشروع الحمایة من الفیضانات بجماعة تكزمرت في إطار طلب المشاریع 2024</t>
  </si>
  <si>
    <t>اتفاقیة متعلقة بإنجاز مشروع الحمایة من الفیضانات بدواویر جماعةأیت وابلي في إطار طلب المشاریع 2024</t>
  </si>
  <si>
    <t>اتفاقیة متعلقة بإنجاز مشروع الوقایة من الفیضانات من الفیضانات في جماعة طاطا بإقلیم طاطا المقدم في إطار طلب المشاریع لسنة 2024، الممول من طرف "صندوق مكافحة آثار الكوارث الطبیعیة</t>
  </si>
  <si>
    <t>اتفاقیة شراكة من أجل إنجاز مشروع أشغال الوقایة من الفیضانات بدواویر جماعة أدیس إقلیم طاطا )الشطر األول أدیس، تكریح وتكلست(، المقدم في إطار طلب المشاریع لسنة 2024، الممول من طرف "صندوق مكافحة آثار الكوارث الطبیعیة"</t>
  </si>
  <si>
    <t>اتفاقیة شراكة لتمویل وانجاز البرنامج األولي لمشاریع التطھیر السائل و إعادة استعمال المیاه العادمة المعالجة و الماء الصالح للشرب بأكادیر الكبیر )الجماعات التابعة لعمالتي أكادیر إداوتنان و انزكان أیت ملول(.</t>
  </si>
  <si>
    <t>اتفاقیة شراكة إلنجاز مشروع التطھیر السائل بمركز أكادیر نایت الطالب بالجماعة الترابیة زكموزن</t>
  </si>
  <si>
    <t>مشروع التطھیر السائل بمركز جماعة الركادة. )الممول في إطار البرنامج الوطني للتطھیر السائل المندمج وإعادة استعمال المیاه العادمة (PNAM</t>
  </si>
  <si>
    <t>االتفاقیة الثانیة تھدف إلى استكمال تمویل وإنجاز مشروع التطھیر السائل بمركز جماعة أحمر لكاللشة والدواویر التابعة لھ ) الحومر و دوار الجدید و أیت زیتان(،</t>
  </si>
  <si>
    <t>مشروع التطھیر السائل بمركز جماعة وجان )الممول في إطار البرنامج الوطني للتطھیر السائل المندمج وإعادة استعمال المیاه العادمة (PNAM</t>
  </si>
  <si>
    <t>مشروع التطھیر السائل بمركز أیت الطالب بجماعة تملوكت )الممول في إطار البرنامج الوطني للتطھیر السائل المندمج وإعادة استعمال المیاه العادمة (PNAM</t>
  </si>
  <si>
    <t>مشروع التطھیر السائل بدوار أسكا إغشان ومركز إریغ نتھالة</t>
  </si>
  <si>
    <t>تفاقیة شراكة للمساھمة في تمویل جزء من حصة جماعة إیغرم إلنجاز مشروع التطھیر السائل لمركز إیغرم بجماعة إیغرم</t>
  </si>
  <si>
    <t>اتفاقیة شراكة للمساھمة في تمویل جزء من حصة جماعة الدیر إلنجاز مشروع التطھیر السائل لمركز بویحیا بجماعة الدیر</t>
  </si>
  <si>
    <t>اتفاقیة شراكة للمساھمة في تمویل جزء من حصة جماعة سیدي بورجا إلنجاز مشروع التطھیر السائل لمركز سیدي بورجا بجماعة سیدي بورجا</t>
  </si>
  <si>
    <t>اتفاقیة شراكة للمساھمة في تمویل جزء من حصة جماعة تیوت إلنجاز مشروع التطھیر السائل لمركز تیوت بجماعةتیوت</t>
  </si>
  <si>
    <t>مشروع التطھیر السائل بمركز اربعاء تبقال والدواویر المجاورة، التابع لجماعة تبقال</t>
  </si>
  <si>
    <t>اتفاقیة شراكة للمساھمة في تمویل حصة جماعة تالكجونت بإقلیم تارودانت إلنجاز مشروع التطھیر السائل بمركز الجماعة</t>
  </si>
  <si>
    <t>مشروع اتفاقیة إلنجاز مشروع التطھیر السائل بمركز إكیدي التابع للنفوذ الترابي لجماعة إكیدي</t>
  </si>
  <si>
    <t>اتفاقیة شراكة للمساھمة في تمویل جزء من حصة جماعــة لمھادي إلنجاز مشروع التطھیر السائل بدواویر أیت دھان ، أیت سعید المھدي، القصبة و الكاوسي التابعین لجماعة لمھادي</t>
  </si>
  <si>
    <t>اتفاقیة شراكة للمساھمة في تمویل جزء من حصة جماعــة تیغمي إلنجاز مشروع التطھیر السائل لمركز تیغمي التابع لجماعة تیغمي</t>
  </si>
  <si>
    <t>اتفاقیة شراكة للمساھمة في تمویل جزء من حصة جماعــة سیدي أحمد أوموسى إلنجاز مشروع التطھیر السائل لمركز سیدي أحمد أوموسى التابع للجماعة</t>
  </si>
  <si>
    <t>اتفاقیة شراكة للمساھمة في تمویل جزء من حصة جماعــة أیت عمیرة إلنجاز مشروع التطھیر السائل لمركز أیت عمیرة التابع للجماعة</t>
  </si>
  <si>
    <t>اتفاقیة شراكة إلنجاز مشروع التطھیر السائل بمركز جماعة أقا إیغان إقلیم طاطا</t>
  </si>
  <si>
    <t>اتفاقیة شراكة و التمویل إلنجاز مشروع التطھیر السائل لمركز جماعة تسینت – إقلیم طاطا –</t>
  </si>
  <si>
    <t>اتفاقیة شراكة و التمویل إلنجاز مشروع التطھیر السائل لمركز جماعةأنزي – إقلیم تزنیت –</t>
  </si>
  <si>
    <t>اتفاقیة شراكة اتفاقیة شراكة للمساھمة في تمویل جزء من حصة جماعة تیزغران إلنجاز مشروع تطھیر السائل لمركز إداوسمالل بجماعة تیزغران - إقلیم تزنیت- الممول في إطار البرنامج الوطني للتطھیر السائل المندمج وإعادة استعمال المیاه العادمة PNAM .</t>
  </si>
  <si>
    <t>اتفاقیة الشراكة والتمویل إلنجاز مشروع تطھیر السائل بتراب جماعة القلیعة - عمالة انزكان أیت ملول -</t>
  </si>
  <si>
    <t>االتفاقیة المتعلقة بإنجاز المشروع المتكامل لتزوید دوار كریزیم بالماء الصالح للشرب والصرف الصحي االیكولوجي بجماعة أربعاء الساحل إقلیم تیزنیت</t>
  </si>
  <si>
    <t>اتفاقیة شراكة للمساھمة في تمویل جزء من حصة جماعة ماسة إلنجاز مشروع تطھیر السائل بجماعة ماسة- إقلیم اشتوكة أیت باھا-</t>
  </si>
  <si>
    <t>اتفاقیــة الشراكــة من أجل إنجاز مشروع التطھیر السائل لمركز الدراركة )الشطر األول(</t>
  </si>
  <si>
    <t>اتفاقیة شراكة لتمویل وإنجاز مشروع التطھیر السائل لمدینة أوالد تایمة</t>
  </si>
  <si>
    <t>اتفاقیــةشراكــة من أجل تمویل وانجاز مشروع التطھیر السائل بجماعة أوالدبرحیل )الشطر الثاني(</t>
  </si>
  <si>
    <t>اتفاقیــة الشراكــة من أجل تمویل و إنجاز مشروع التطھیر السائل لمدینة تیزنیت</t>
  </si>
  <si>
    <t>اتفاقیة شراكة لتمویل وإنجاز مشروع التطھیر السائل بمدینة تارودانت</t>
  </si>
  <si>
    <t>اتفاقیــة الشراكــة من أجل إنجاز مشروع التطھیر السائل بمركز جماعة بلفاع )الشطر الثاني(</t>
  </si>
  <si>
    <t>اتفاقیة شراكة لتمویل و انجاز مشروع التطھیر السائل بمركز جماعة سیدي بیبي</t>
  </si>
  <si>
    <t>اتفاقیة شراكة لتمویل و انجاز مشروع التطھیر السائل بمدینة بیوكرى</t>
  </si>
  <si>
    <t>اتفاقیة شراكة وتمویل من أجل انجاز مشاریع التزود بالماء الصالح للشرب لمراكز ودواویر الجھة في إطار البرنامج الوطني للتزود بالماء الصالح للشرب و میاه السقي 2027-2020</t>
  </si>
  <si>
    <t>اتفاقیة شراكة وتعاون من أجل تزوید الدواویر التابعة لجماعة أسكاون بالماء الصالح للشرب بإقلیم تارودانت</t>
  </si>
  <si>
    <t>اتفاقیة شراكة حول تزوید الوسط القروي لجھة سوس ماسة بالماء الصالح للشرب</t>
  </si>
  <si>
    <t>اتفاقیة شراكة من أجل تقویة وتزوید مركز أیت باھا والدواویر التابعة لجماعة دائرة أیت باھا بالماء الصالح</t>
  </si>
  <si>
    <t>اتفاقیة شراكة لتأمین تزوید المنطقة الجبلیة ألیت باھا بالماء الصالح للشرب</t>
  </si>
  <si>
    <t>اتفاقیة شراكة من أجل تمویل وإنجاز مشروع تزوید األحیاء العلیا بجماعة أوالد برحیل بالماء الصالح للشرب</t>
  </si>
  <si>
    <t>اتفاقیة شراكة من أجل تزوید الدواویر التابعة لجماعة احمد اوعمر بالماء الصالح للشرب</t>
  </si>
  <si>
    <t>اتفاقیة شراكة من أجل تزوید الدواویر التابعة لجماعة لمھادي بالماء الصالح للشرب</t>
  </si>
  <si>
    <t>اتفاقیة شراكة من أجل تزوید الدواویر التابعة لجماعة ایكودار المنابھة إقلیم تارودانت بالماء الصالح للشرب</t>
  </si>
  <si>
    <t>اتفاقیة شراكة من أجل تمویل وإنجاز مشروع تأھیل وتقویة مركز بلفاع وتزوید 12 دوار بالماء الصالح للشرب</t>
  </si>
  <si>
    <t>Signification</t>
  </si>
  <si>
    <t>Action type</t>
  </si>
  <si>
    <t>Horizon</t>
  </si>
  <si>
    <t>🔴 En retard</t>
  </si>
  <si>
    <t>Échéance dépassée</t>
  </si>
  <si>
    <t>Organiser / régulariser immédiatement</t>
  </si>
  <si>
    <t>Immédiat</t>
  </si>
  <si>
    <t>🟠 À déclencher</t>
  </si>
  <si>
    <t>Échéance dans 30 jours</t>
  </si>
  <si>
    <t>Préparer convocation et pièces</t>
  </si>
  <si>
    <t>0–30 jours</t>
  </si>
  <si>
    <t>🟡 À préparer</t>
  </si>
  <si>
    <t>Échéance dans 31 à 60 jours</t>
  </si>
  <si>
    <t>Anticiper avec le responsable</t>
  </si>
  <si>
    <t>31–60 jours</t>
  </si>
  <si>
    <t>🟢 À jour</t>
  </si>
  <si>
    <t>Pas d’échéance proche</t>
  </si>
  <si>
    <t>Aucune action immédiate</t>
  </si>
  <si>
    <t>&gt; 60 jours</t>
  </si>
  <si>
    <t>⚪ À surveiller / qualifier</t>
  </si>
  <si>
    <t>Pas de date fixe ou règle conditionnelle</t>
  </si>
  <si>
    <t>Vérifier le déclencheur / la clause</t>
  </si>
  <si>
    <t>Mensuel</t>
  </si>
  <si>
    <t>Mise à jour</t>
  </si>
  <si>
    <t>Contenu</t>
  </si>
  <si>
    <t>Principe</t>
  </si>
  <si>
    <t>Source</t>
  </si>
  <si>
    <t>16/09/2026</t>
  </si>
  <si>
    <t>Intégration du service économique</t>
  </si>
  <si>
    <t>123 conventions ajoutées au suivi centralisé</t>
  </si>
  <si>
    <t>Tableau économique partagé antérieurement</t>
  </si>
  <si>
    <t>Automatique</t>
  </si>
  <si>
    <t>Feuille « À faire ce mois »</t>
  </si>
  <si>
    <t>Se recalcule avec TODAY() à chaque ouverture/recalcul Excel</t>
  </si>
  <si>
    <t>Formules dynamiques FILTER + statuts</t>
  </si>
  <si>
    <t xml:space="preserve">À FAIRE / À SURVEILLER </t>
  </si>
  <si>
    <r>
      <t xml:space="preserve">Lecture rapide : 🔴 retard  • </t>
    </r>
    <r>
      <rPr>
        <b/>
        <sz val="9"/>
        <color rgb="FFFF0000"/>
        <rFont val="Aptos"/>
        <family val="2"/>
      </rPr>
      <t xml:space="preserve"> 🟠 </t>
    </r>
    <r>
      <rPr>
        <b/>
        <sz val="9"/>
        <color rgb="FF5F6B76"/>
        <rFont val="Aptos"/>
      </rPr>
      <t xml:space="preserve">à déclencher  •  </t>
    </r>
    <r>
      <rPr>
        <b/>
        <sz val="9"/>
        <color theme="4"/>
        <rFont val="Aptos"/>
        <family val="2"/>
      </rPr>
      <t>🟡</t>
    </r>
    <r>
      <rPr>
        <b/>
        <sz val="9"/>
        <color rgb="FF5F6B76"/>
        <rFont val="Aptos"/>
      </rPr>
      <t xml:space="preserve"> à préparer  •  </t>
    </r>
    <r>
      <rPr>
        <b/>
        <sz val="9"/>
        <color theme="7"/>
        <rFont val="Aptos"/>
        <family val="2"/>
      </rPr>
      <t xml:space="preserve">🟢 </t>
    </r>
    <r>
      <rPr>
        <b/>
        <sz val="9"/>
        <color rgb="FF5F6B76"/>
        <rFont val="Aptos"/>
      </rPr>
      <t>à jour  •  ⚪ à surveiller / qualifier</t>
    </r>
  </si>
  <si>
    <t>Responsable du projet</t>
  </si>
  <si>
    <t>Présidence du comité</t>
  </si>
  <si>
    <t>Enveloppe  Budgetaire</t>
  </si>
  <si>
    <t>Contribution de la Région</t>
  </si>
  <si>
    <t>Maitrise d'ouvrage</t>
  </si>
  <si>
    <t>Maitrise d'ouvrage délégué</t>
  </si>
  <si>
    <t>Membres du comité</t>
  </si>
  <si>
    <t>Fréquence des réunions du comité</t>
  </si>
  <si>
    <t>PV</t>
  </si>
  <si>
    <t>Statut de la convention</t>
  </si>
  <si>
    <t>Fiche technique</t>
  </si>
  <si>
    <t>Statut</t>
  </si>
  <si>
    <t xml:space="preserve"> Convention </t>
  </si>
  <si>
    <t>En cours   Arrivée à terme  Résiliée</t>
  </si>
  <si>
    <t>TENUE/NON TENUE/A TENIR</t>
  </si>
  <si>
    <t>Convention visée</t>
  </si>
  <si>
    <t>Date de visa</t>
  </si>
  <si>
    <t>Session</t>
  </si>
  <si>
    <t>Nature des fonds</t>
  </si>
  <si>
    <t>propres/FEC</t>
  </si>
  <si>
    <t>Programmation annuelle</t>
  </si>
  <si>
    <t>Avancement des études</t>
  </si>
  <si>
    <t>Avancement des travaux</t>
  </si>
  <si>
    <t>FEC</t>
  </si>
  <si>
    <t>Contracté/pas encore</t>
  </si>
  <si>
    <t>Foncier</t>
  </si>
  <si>
    <t>Assaini/non</t>
  </si>
  <si>
    <t>commentaire sur la pertinence</t>
  </si>
  <si>
    <t>2026/2027/2027</t>
  </si>
  <si>
    <t>montant engagé</t>
  </si>
  <si>
    <t>montant versé</t>
  </si>
  <si>
    <t>Finalisés/en cours/non entamé</t>
  </si>
  <si>
    <t>statut/taux</t>
  </si>
  <si>
    <t>année/SO</t>
  </si>
  <si>
    <t>Rattachement</t>
  </si>
  <si>
    <t>direction division service</t>
  </si>
  <si>
    <t>prochain comité</t>
  </si>
  <si>
    <t>montant versé2</t>
  </si>
  <si>
    <t>Décision</t>
  </si>
  <si>
    <t>A renouveler/ A reconduire tacitemment / A maintenir/ A ne pas renouveler /A résilier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</si>
</sst>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dd/mm/yyyy;;@"/>
    <numFmt numFmtId="165" formatCode="0;\-0;;@"/>
  </numFmts>
  <fonts count="20">
    <font>
      <sz val="11"/>
      <name val="Carlito"/>
    </font>
    <font>
      <sz val="10"/>
      <color rgb="FF243746"/>
      <name val="Aptos"/>
    </font>
    <font>
      <b/>
      <sz val="16"/>
      <color rgb="FFFFFFFF"/>
      <name val="Aptos Display"/>
    </font>
    <font>
      <i/>
      <sz val="10"/>
      <color rgb="FF5F6B76"/>
      <name val="Aptos"/>
    </font>
    <font>
      <b/>
      <sz val="9"/>
      <color rgb="FF5F6B76"/>
      <name val="Aptos"/>
    </font>
    <font>
      <b/>
      <sz val="11"/>
      <color rgb="FFFFFFFF"/>
      <name val="Aptos"/>
    </font>
    <font>
      <b/>
      <sz val="10"/>
      <color rgb="FF1F4E78"/>
      <name val="Aptos"/>
    </font>
    <font>
      <b/>
      <sz val="10"/>
      <color rgb="FFC00000"/>
      <name val="Aptos"/>
    </font>
    <font>
      <b/>
      <sz val="10"/>
      <color rgb="FFC65911"/>
      <name val="Aptos"/>
    </font>
    <font>
      <b/>
      <sz val="10"/>
      <color rgb="FF9C6500"/>
      <name val="Aptos"/>
    </font>
    <font>
      <b/>
      <sz val="10"/>
      <color rgb="FF548235"/>
      <name val="Aptos"/>
    </font>
    <font>
      <b/>
      <sz val="10"/>
      <color rgb="FF666666"/>
      <name val="Aptos"/>
    </font>
    <font>
      <b/>
      <sz val="9"/>
      <color rgb="FFFF0000"/>
      <name val="Aptos"/>
      <family val="2"/>
    </font>
    <font>
      <b/>
      <sz val="11"/>
      <color rgb="FFFFFFFF"/>
      <name val="Aptos"/>
      <family val="2"/>
    </font>
    <font>
      <sz val="10"/>
      <color rgb="FF243746"/>
      <name val="Aptos"/>
      <family val="2"/>
    </font>
    <font>
      <b/>
      <sz val="9"/>
      <color theme="7"/>
      <name val="Aptos"/>
      <family val="2"/>
    </font>
    <font>
      <b/>
      <sz val="9"/>
      <color theme="4"/>
      <name val="Aptos"/>
      <family val="2"/>
    </font>
    <font>
      <b/>
      <sz val="9"/>
      <color rgb="FF5F6B76"/>
      <name val="Aptos"/>
      <family val="2"/>
    </font>
    <font>
      <sz val="8"/>
      <name val="Carlito"/>
    </font>
    <font>
      <sz val="12"/>
      <color rgb="FF243746"/>
      <name val="Aptos"/>
      <family val="2"/>
    </font>
  </fonts>
  <fills count="13">
    <fill>
      <patternFill patternType="none"/>
    </fill>
    <fill>
      <patternFill patternType="gray125"/>
    </fill>
    <fill>
      <patternFill patternType="solid">
        <fgColor rgb="FF1F4E78"/>
      </patternFill>
    </fill>
    <fill>
      <patternFill patternType="solid">
        <fgColor rgb="FFDCEAF7"/>
      </patternFill>
    </fill>
    <fill>
      <patternFill patternType="solid">
        <fgColor rgb="FFF3F8FC"/>
      </patternFill>
    </fill>
    <fill>
      <patternFill patternType="solid">
        <fgColor rgb="FF5B9BD5"/>
      </patternFill>
    </fill>
    <fill>
      <patternFill patternType="solid">
        <fgColor rgb="FFEEF5FB"/>
      </patternFill>
    </fill>
    <fill>
      <patternFill patternType="solid">
        <fgColor rgb="FFFDE9E7"/>
      </patternFill>
    </fill>
    <fill>
      <patternFill patternType="solid">
        <fgColor rgb="FFFFF0D9"/>
      </patternFill>
    </fill>
    <fill>
      <patternFill patternType="solid">
        <fgColor rgb="FFFFF6D6"/>
      </patternFill>
    </fill>
    <fill>
      <patternFill patternType="solid">
        <fgColor rgb="FFE8F3E4"/>
      </patternFill>
    </fill>
    <fill>
      <patternFill patternType="solid">
        <fgColor rgb="FFF2F2F2"/>
      </patternFill>
    </fill>
    <fill>
      <patternFill patternType="solid">
        <fgColor rgb="FFFAFBFC"/>
      </patternFill>
    </fill>
  </fills>
  <borders count="13">
    <border>
      <left/>
      <right/>
      <top/>
      <bottom/>
      <diagonal/>
    </border>
    <border>
      <left style="thin">
        <color rgb="FFD9E2E8"/>
      </left>
      <right/>
      <top style="thin">
        <color rgb="FFD9E2E8"/>
      </top>
      <bottom/>
      <diagonal/>
    </border>
    <border>
      <left/>
      <right/>
      <top style="thin">
        <color rgb="FFD9E2E8"/>
      </top>
      <bottom/>
      <diagonal/>
    </border>
    <border>
      <left/>
      <right style="thin">
        <color rgb="FFD9E2E8"/>
      </right>
      <top style="thin">
        <color rgb="FFD9E2E8"/>
      </top>
      <bottom/>
      <diagonal/>
    </border>
    <border>
      <left style="thin">
        <color rgb="FFD9E2E8"/>
      </left>
      <right/>
      <top/>
      <bottom/>
      <diagonal/>
    </border>
    <border>
      <left/>
      <right style="thin">
        <color rgb="FFD9E2E8"/>
      </right>
      <top/>
      <bottom/>
      <diagonal/>
    </border>
    <border>
      <left style="thin">
        <color rgb="FFD9E2E8"/>
      </left>
      <right/>
      <top/>
      <bottom style="thin">
        <color rgb="FFD9E2E8"/>
      </bottom>
      <diagonal/>
    </border>
    <border>
      <left/>
      <right/>
      <top/>
      <bottom style="thin">
        <color rgb="FFD9E2E8"/>
      </bottom>
      <diagonal/>
    </border>
    <border>
      <left/>
      <right style="thin">
        <color rgb="FFD9E2E8"/>
      </right>
      <top/>
      <bottom style="thin">
        <color rgb="FFD9E2E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1">
    <xf numFmtId="0" fontId="0" fillId="0" borderId="0" xfId="0"/>
    <xf numFmtId="0" fontId="0" fillId="0" borderId="0" xfId="0" applyAlignment="1">
      <alignment wrapText="1"/>
    </xf>
    <xf numFmtId="14" fontId="0" fillId="0" borderId="0" xfId="0" applyNumberFormat="1" applyAlignment="1">
      <alignment wrapText="1"/>
    </xf>
    <xf numFmtId="0" fontId="5" fillId="5" borderId="0" xfId="0" applyFont="1" applyFill="1" applyAlignment="1">
      <alignment horizontal="center" vertical="center" wrapText="1"/>
    </xf>
    <xf numFmtId="0" fontId="1" fillId="0" borderId="4" xfId="0" applyFont="1" applyBorder="1" applyAlignment="1">
      <alignment vertical="center" wrapText="1"/>
    </xf>
    <xf numFmtId="0" fontId="1" fillId="0" borderId="0" xfId="0" applyFont="1" applyAlignment="1">
      <alignment vertical="center" wrapText="1"/>
    </xf>
    <xf numFmtId="0" fontId="1" fillId="0" borderId="5" xfId="0" applyFont="1" applyBorder="1" applyAlignment="1">
      <alignment vertical="center" wrapText="1"/>
    </xf>
    <xf numFmtId="0" fontId="1" fillId="0" borderId="1" xfId="0" applyFont="1" applyBorder="1" applyAlignment="1">
      <alignment horizontal="right" vertical="center" wrapText="1"/>
    </xf>
    <xf numFmtId="0" fontId="1" fillId="0" borderId="4" xfId="0" applyFont="1" applyBorder="1" applyAlignment="1">
      <alignment horizontal="right" vertical="center" wrapText="1"/>
    </xf>
    <xf numFmtId="0" fontId="1" fillId="0" borderId="6" xfId="0" applyFont="1" applyBorder="1" applyAlignment="1">
      <alignment horizontal="right" vertical="center" wrapText="1"/>
    </xf>
    <xf numFmtId="0" fontId="1" fillId="6" borderId="2" xfId="0" applyFont="1" applyFill="1" applyBorder="1" applyAlignment="1">
      <alignment horizontal="left" vertical="center" wrapText="1"/>
    </xf>
    <xf numFmtId="0" fontId="1" fillId="6" borderId="0" xfId="0" applyFont="1" applyFill="1" applyAlignment="1">
      <alignment horizontal="left" vertical="center" wrapText="1"/>
    </xf>
    <xf numFmtId="0" fontId="1" fillId="6" borderId="7" xfId="0" applyFont="1" applyFill="1" applyBorder="1" applyAlignment="1">
      <alignment horizontal="left" vertical="center" wrapText="1"/>
    </xf>
    <xf numFmtId="164" fontId="1" fillId="0" borderId="2" xfId="0" applyNumberFormat="1" applyFont="1" applyBorder="1" applyAlignment="1">
      <alignment horizontal="center" vertical="center" wrapText="1"/>
    </xf>
    <xf numFmtId="164" fontId="1" fillId="0" borderId="0" xfId="0" applyNumberFormat="1" applyFont="1" applyAlignment="1">
      <alignment horizontal="center" vertical="center" wrapText="1"/>
    </xf>
    <xf numFmtId="164" fontId="1" fillId="0" borderId="7"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applyAlignment="1">
      <alignment horizontal="center" vertical="center" wrapText="1"/>
    </xf>
    <xf numFmtId="0" fontId="1" fillId="0" borderId="3" xfId="0" applyFont="1" applyBorder="1" applyAlignment="1">
      <alignment horizontal="left" vertical="center" wrapText="1"/>
    </xf>
    <xf numFmtId="0" fontId="1" fillId="0" borderId="5" xfId="0" applyFont="1" applyBorder="1" applyAlignment="1">
      <alignment horizontal="left" vertical="center" wrapText="1"/>
    </xf>
    <xf numFmtId="0" fontId="1" fillId="0" borderId="8" xfId="0" applyFont="1" applyBorder="1" applyAlignment="1">
      <alignment horizontal="lef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1" fillId="7" borderId="0" xfId="0" applyFont="1" applyFill="1" applyAlignment="1">
      <alignment vertical="center" wrapText="1"/>
    </xf>
    <xf numFmtId="0" fontId="1" fillId="7" borderId="5" xfId="0" applyFont="1" applyFill="1" applyBorder="1" applyAlignment="1">
      <alignment vertical="center" wrapText="1"/>
    </xf>
    <xf numFmtId="0" fontId="7" fillId="7" borderId="4" xfId="0" applyFont="1" applyFill="1" applyBorder="1" applyAlignment="1">
      <alignment vertical="center" wrapText="1"/>
    </xf>
    <xf numFmtId="0" fontId="1" fillId="8" borderId="0" xfId="0" applyFont="1" applyFill="1" applyAlignment="1">
      <alignment vertical="center" wrapText="1"/>
    </xf>
    <xf numFmtId="0" fontId="1" fillId="8" borderId="5" xfId="0" applyFont="1" applyFill="1" applyBorder="1" applyAlignment="1">
      <alignment vertical="center" wrapText="1"/>
    </xf>
    <xf numFmtId="0" fontId="8" fillId="8" borderId="4" xfId="0" applyFont="1" applyFill="1" applyBorder="1" applyAlignment="1">
      <alignment vertical="center" wrapText="1"/>
    </xf>
    <xf numFmtId="0" fontId="1" fillId="9" borderId="0" xfId="0" applyFont="1" applyFill="1" applyAlignment="1">
      <alignment vertical="center" wrapText="1"/>
    </xf>
    <xf numFmtId="0" fontId="1" fillId="9" borderId="5" xfId="0" applyFont="1" applyFill="1" applyBorder="1" applyAlignment="1">
      <alignment vertical="center" wrapText="1"/>
    </xf>
    <xf numFmtId="0" fontId="9" fillId="9" borderId="4" xfId="0" applyFont="1" applyFill="1" applyBorder="1" applyAlignment="1">
      <alignment vertical="center" wrapText="1"/>
    </xf>
    <xf numFmtId="0" fontId="1" fillId="10" borderId="0" xfId="0" applyFont="1" applyFill="1" applyAlignment="1">
      <alignment vertical="center" wrapText="1"/>
    </xf>
    <xf numFmtId="0" fontId="1" fillId="10" borderId="5" xfId="0" applyFont="1" applyFill="1" applyBorder="1" applyAlignment="1">
      <alignment vertical="center" wrapText="1"/>
    </xf>
    <xf numFmtId="0" fontId="10" fillId="10" borderId="4" xfId="0" applyFont="1" applyFill="1" applyBorder="1" applyAlignment="1">
      <alignment vertical="center" wrapText="1"/>
    </xf>
    <xf numFmtId="0" fontId="1" fillId="11" borderId="0" xfId="0" applyFont="1" applyFill="1" applyAlignment="1">
      <alignment vertical="center" wrapText="1"/>
    </xf>
    <xf numFmtId="0" fontId="1" fillId="11" borderId="5" xfId="0" applyFont="1" applyFill="1" applyBorder="1" applyAlignment="1">
      <alignment vertical="center" wrapText="1"/>
    </xf>
    <xf numFmtId="0" fontId="11" fillId="11" borderId="4" xfId="0" applyFont="1" applyFill="1" applyBorder="1" applyAlignment="1">
      <alignment vertical="center" wrapText="1"/>
    </xf>
    <xf numFmtId="0" fontId="1" fillId="12" borderId="0" xfId="0" applyFont="1" applyFill="1" applyAlignment="1">
      <alignment vertical="center" wrapText="1"/>
    </xf>
    <xf numFmtId="0" fontId="1" fillId="12" borderId="5" xfId="0" applyFont="1" applyFill="1" applyBorder="1" applyAlignment="1">
      <alignment vertical="center" wrapText="1"/>
    </xf>
    <xf numFmtId="0" fontId="1" fillId="12" borderId="7" xfId="0" applyFont="1" applyFill="1" applyBorder="1" applyAlignment="1">
      <alignment vertical="center" wrapText="1"/>
    </xf>
    <xf numFmtId="0" fontId="1" fillId="12" borderId="8" xfId="0" applyFont="1" applyFill="1" applyBorder="1" applyAlignment="1">
      <alignment vertical="center" wrapText="1"/>
    </xf>
    <xf numFmtId="0" fontId="6" fillId="12" borderId="4" xfId="0" applyFont="1" applyFill="1" applyBorder="1" applyAlignment="1">
      <alignment vertical="center" wrapText="1"/>
    </xf>
    <xf numFmtId="0" fontId="6" fillId="12" borderId="6" xfId="0" applyFont="1" applyFill="1" applyBorder="1" applyAlignment="1">
      <alignment vertical="center" wrapText="1"/>
    </xf>
    <xf numFmtId="165" fontId="1" fillId="0" borderId="2" xfId="0" applyNumberFormat="1" applyFont="1" applyBorder="1" applyAlignment="1">
      <alignment horizontal="left" vertical="center" wrapText="1"/>
    </xf>
    <xf numFmtId="165" fontId="1" fillId="0" borderId="0" xfId="0" applyNumberFormat="1" applyFont="1" applyAlignment="1">
      <alignment horizontal="left" vertical="center" wrapText="1"/>
    </xf>
    <xf numFmtId="165" fontId="1" fillId="0" borderId="7" xfId="0" applyNumberFormat="1" applyFont="1" applyBorder="1" applyAlignment="1">
      <alignment horizontal="left" vertical="center" wrapText="1"/>
    </xf>
    <xf numFmtId="0" fontId="0" fillId="0" borderId="9" xfId="0" applyBorder="1"/>
    <xf numFmtId="0" fontId="13" fillId="5" borderId="9"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1" fillId="0" borderId="9" xfId="0" applyFont="1" applyBorder="1" applyAlignment="1">
      <alignment horizontal="right" vertical="center" wrapText="1"/>
    </xf>
    <xf numFmtId="0" fontId="1" fillId="0" borderId="9" xfId="0" applyFont="1" applyBorder="1" applyAlignment="1">
      <alignment horizontal="left" vertical="center" wrapText="1"/>
    </xf>
    <xf numFmtId="164" fontId="1" fillId="0" borderId="9" xfId="0" applyNumberFormat="1" applyFont="1" applyBorder="1" applyAlignment="1">
      <alignment horizontal="center" vertical="center" wrapText="1"/>
    </xf>
    <xf numFmtId="164" fontId="14" fillId="0" borderId="9" xfId="0" applyNumberFormat="1" applyFont="1" applyBorder="1" applyAlignment="1">
      <alignment horizontal="center" vertical="center" wrapText="1"/>
    </xf>
    <xf numFmtId="0" fontId="19" fillId="0" borderId="9" xfId="0" applyFont="1" applyBorder="1" applyAlignment="1">
      <alignment horizontal="center" vertical="center" wrapText="1"/>
    </xf>
    <xf numFmtId="0" fontId="1" fillId="0" borderId="9" xfId="0" applyFont="1" applyBorder="1" applyAlignment="1">
      <alignment horizontal="center" vertical="center" wrapText="1"/>
    </xf>
    <xf numFmtId="0" fontId="0" fillId="0" borderId="10" xfId="0" applyBorder="1"/>
    <xf numFmtId="0" fontId="0" fillId="0" borderId="11" xfId="0" applyBorder="1"/>
    <xf numFmtId="0" fontId="0" fillId="0" borderId="12" xfId="0" applyBorder="1"/>
    <xf numFmtId="0" fontId="2" fillId="2" borderId="9" xfId="0" applyFont="1" applyFill="1" applyBorder="1" applyAlignment="1">
      <alignment horizontal="center" vertical="center"/>
    </xf>
    <xf numFmtId="0" fontId="3" fillId="3" borderId="9" xfId="0" applyFont="1" applyFill="1" applyBorder="1" applyAlignment="1">
      <alignment horizontal="left" vertical="center" wrapText="1"/>
    </xf>
    <xf numFmtId="0" fontId="17" fillId="4" borderId="9" xfId="0" applyFont="1" applyFill="1" applyBorder="1" applyAlignment="1">
      <alignment horizontal="center" vertical="center"/>
    </xf>
    <xf numFmtId="0" fontId="4" fillId="4" borderId="9" xfId="0" applyFont="1" applyFill="1" applyBorder="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left" vertical="center" wrapText="1"/>
    </xf>
    <xf numFmtId="0" fontId="4" fillId="4" borderId="0" xfId="0" applyFont="1" applyFill="1" applyAlignment="1">
      <alignment horizontal="center" vertical="center"/>
    </xf>
  </cellXfs>
  <cellStyles count="1">
    <cellStyle name="Normal" xfId="0" builtinId="0"/>
  </cellStyles>
  <dxfs count="55">
    <dxf>
      <font>
        <color rgb="FF666666"/>
      </font>
      <fill>
        <patternFill patternType="solid">
          <bgColor rgb="FFF2F2F2"/>
        </patternFill>
      </fill>
    </dxf>
    <dxf>
      <font>
        <b/>
        <color rgb="FF548235"/>
      </font>
      <fill>
        <patternFill patternType="solid">
          <bgColor rgb="FFE8F3E4"/>
        </patternFill>
      </fill>
    </dxf>
    <dxf>
      <font>
        <b/>
        <color rgb="FF9C6500"/>
      </font>
      <fill>
        <patternFill patternType="solid">
          <bgColor rgb="FFFFF6D6"/>
        </patternFill>
      </fill>
    </dxf>
    <dxf>
      <font>
        <b/>
        <color rgb="FFC65911"/>
      </font>
      <fill>
        <patternFill patternType="solid">
          <bgColor rgb="FFFFF0D9"/>
        </patternFill>
      </fill>
    </dxf>
    <dxf>
      <font>
        <b/>
        <color rgb="FFC00000"/>
      </font>
      <fill>
        <patternFill patternType="solid">
          <bgColor rgb="FFFDE9E7"/>
        </patternFill>
      </fill>
    </dxf>
    <dxf>
      <fill>
        <patternFill>
          <bgColor rgb="FFE7E6E6"/>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
      <font>
        <color rgb="FF666666"/>
      </font>
      <fill>
        <patternFill patternType="solid">
          <bgColor rgb="FFF2F2F2"/>
        </patternFill>
      </fill>
    </dxf>
    <dxf>
      <font>
        <b/>
        <color rgb="FF548235"/>
      </font>
      <fill>
        <patternFill patternType="solid">
          <bgColor rgb="FFE8F3E4"/>
        </patternFill>
      </fill>
    </dxf>
    <dxf>
      <font>
        <b/>
        <color rgb="FF9C6500"/>
      </font>
      <fill>
        <patternFill patternType="solid">
          <bgColor rgb="FFFFF6D6"/>
        </patternFill>
      </fill>
    </dxf>
    <dxf>
      <font>
        <b/>
        <color rgb="FFC65911"/>
      </font>
      <fill>
        <patternFill patternType="solid">
          <bgColor rgb="FFFFF0D9"/>
        </patternFill>
      </fill>
    </dxf>
    <dxf>
      <font>
        <b/>
        <color rgb="FFC00000"/>
      </font>
      <fill>
        <patternFill patternType="solid">
          <bgColor rgb="FFFDE9E7"/>
        </patternFill>
      </fill>
    </dxf>
    <dxf>
      <fill>
        <patternFill patternType="solid">
          <bgColor rgb="FFF3F8FC"/>
        </patternFill>
      </fill>
    </dxf>
    <dxf>
      <font>
        <color rgb="FF666666"/>
      </font>
      <fill>
        <patternFill patternType="solid">
          <bgColor rgb="FFF2F2F2"/>
        </patternFill>
      </fill>
    </dxf>
    <dxf>
      <font>
        <b/>
        <color rgb="FF548235"/>
      </font>
      <fill>
        <patternFill patternType="solid">
          <bgColor rgb="FFE8F3E4"/>
        </patternFill>
      </fill>
    </dxf>
    <dxf>
      <font>
        <b/>
        <color rgb="FF9C6500"/>
      </font>
      <fill>
        <patternFill patternType="solid">
          <bgColor rgb="FFFFF6D6"/>
        </patternFill>
      </fill>
    </dxf>
    <dxf>
      <font>
        <b/>
        <color rgb="FFC65911"/>
      </font>
      <fill>
        <patternFill patternType="solid">
          <bgColor rgb="FFFFF0D9"/>
        </patternFill>
      </fill>
    </dxf>
    <dxf>
      <font>
        <b/>
        <color rgb="FFC00000"/>
      </font>
      <fill>
        <patternFill patternType="solid">
          <bgColor rgb="FFFDE9E7"/>
        </patternFill>
      </fill>
    </dxf>
    <dxf>
      <fill>
        <patternFill>
          <bgColor rgb="FFE7E6E6"/>
        </patternFill>
      </fill>
    </dxf>
    <dxf>
      <font>
        <b/>
      </font>
      <fill>
        <patternFill>
          <bgColor rgb="FFFCE5CD"/>
        </patternFill>
      </fill>
    </dxf>
    <dxf>
      <font>
        <b/>
      </font>
      <fill>
        <patternFill>
          <bgColor rgb="FFF4CCCC"/>
        </patternFill>
      </fill>
    </dxf>
    <dxf>
      <fill>
        <patternFill patternType="solid">
          <bgColor rgb="FFF3F8FC"/>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3746"/>
        <name val="Aptos"/>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numFmt numFmtId="164" formatCode="dd/mm/yyyy;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numFmt numFmtId="164" formatCode="dd/mm/yyyy;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numFmt numFmtId="164" formatCode="dd/mm/yyyy;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numFmt numFmtId="164" formatCode="dd/mm/yyyy;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3746"/>
        <name val="Aptos"/>
        <scheme val="none"/>
      </font>
      <numFmt numFmtId="164" formatCode="dd/mm/yyyy;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3746"/>
        <name val="Aptos"/>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3746"/>
        <name val="Aptos"/>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uiviSimpleTable" displayName="SuiviSimpleTable" ref="C4:AE112" totalsRowShown="0" headerRowDxfId="54">
  <tableColumns count="29">
    <tableColumn id="1" xr3:uid="{00000000-0010-0000-0100-000001000000}" name="Convention visée" dataDxfId="53"/>
    <tableColumn id="21" xr3:uid="{D8520981-0D4D-45DC-9771-9DE6C2EF36D7}" name="Session" dataDxfId="52"/>
    <tableColumn id="20" xr3:uid="{D24FDF94-E394-4011-A28C-DD18F4B5D797}" name="Date de visa" dataDxfId="51"/>
    <tableColumn id="9" xr3:uid="{8101C918-C0CB-490F-B91D-4798A008B69B}" name="Présidence du comité" dataDxfId="50"/>
    <tableColumn id="14" xr3:uid="{07BE2100-CEFA-48CA-9A4C-A1C64254D135}" name="Membres du comité" dataDxfId="49"/>
    <tableColumn id="4" xr3:uid="{00000000-0010-0000-0100-000004000000}" name="Fréquence des réunions du comité" dataDxfId="48"/>
    <tableColumn id="10" xr3:uid="{60AEABE4-456F-4C44-B461-444F4AEBA7EF}" name="Enveloppe  Budgetaire" dataDxfId="47"/>
    <tableColumn id="11" xr3:uid="{9BE47DF0-3776-46AE-B109-1768B691461F}" name="Contribution de la Région" dataDxfId="46"/>
    <tableColumn id="13" xr3:uid="{9353B445-06DC-4439-AF90-1402015CFEED}" name="Maitrise d'ouvrage" dataDxfId="45"/>
    <tableColumn id="12" xr3:uid="{F2DFE467-5AFD-4979-8B33-75A4DA57FA24}" name="Maitrise d'ouvrage délégué" dataDxfId="44"/>
    <tableColumn id="34" xr3:uid="{5F5E2774-1D8A-4486-A547-E4314766B85B}" name="prochain comité" dataDxfId="43"/>
    <tableColumn id="5" xr3:uid="{00000000-0010-0000-0100-000005000000}" name="Dernier comité" dataDxfId="42"/>
    <tableColumn id="15" xr3:uid="{1C57C4C3-B7B7-48C5-BB50-A4A280324087}" name="PV" dataDxfId="41"/>
    <tableColumn id="36" xr3:uid="{AA51BC52-4E88-4862-8227-51D264385BB8}" name="Décision" dataDxfId="40"/>
    <tableColumn id="17" xr3:uid="{6BDAEA66-38AE-4DAF-B636-6EE2F51C3A87}" name=" Convention " dataDxfId="39"/>
    <tableColumn id="18" xr3:uid="{91FB2742-A3D5-4FDB-814B-7C69184C11A9}" name="Fiche technique" dataDxfId="38"/>
    <tableColumn id="16" xr3:uid="{37398971-C891-4C73-81AD-34D8110C2A63}" name="Statut de la convention" dataDxfId="37"/>
    <tableColumn id="6" xr3:uid="{00000000-0010-0000-0100-000006000000}" name="Prochaine échéance" dataDxfId="36"/>
    <tableColumn id="7" xr3:uid="{00000000-0010-0000-0100-000007000000}" name="Statut" dataDxfId="35"/>
    <tableColumn id="26" xr3:uid="{BE796231-215F-4C8B-A253-B29A3C1D22E3}" name="Nature des fonds" dataDxfId="34"/>
    <tableColumn id="22" xr3:uid="{48B5FFAF-03FD-4C79-97B6-55E5A781BD1A}" name="FEC" dataDxfId="33"/>
    <tableColumn id="30" xr3:uid="{67F92A05-C364-4066-8AD2-728CF08197DD}" name="Programmation annuelle" dataDxfId="32"/>
    <tableColumn id="31" xr3:uid="{CFF2B2EB-C784-43C7-90FE-380F683F3E42}" name="montant engagé" dataDxfId="31"/>
    <tableColumn id="35" xr3:uid="{7E5DECBC-710A-4D39-ADC1-D5B1EEFF95B8}" name="montant versé" dataDxfId="30"/>
    <tableColumn id="23" xr3:uid="{74F1E25D-28DF-4D6D-8E5B-DFA17DBA5A36}" name="montant versé2" dataDxfId="29"/>
    <tableColumn id="24" xr3:uid="{88FC715C-DBD8-458B-9FA3-F0DA03F2D28D}" name="Avancement des études" dataDxfId="28"/>
    <tableColumn id="25" xr3:uid="{0591703E-FED0-4A3D-86EE-88B1C215B7F7}" name="Avancement des travaux" dataDxfId="27"/>
    <tableColumn id="28" xr3:uid="{A68B414E-4D71-40AA-8555-164C1E5961C6}" name="Foncier" dataDxfId="26"/>
    <tableColumn id="29" xr3:uid="{992CF3CA-490C-4085-9178-66785251BFEE}" name="commentaire sur la pertinence" dataDxfId="2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Souss Massa Institutionnel">
      <a:dk1>
        <a:srgbClr val="1A1A1A"/>
      </a:dk1>
      <a:lt1>
        <a:srgbClr val="FFFFFF"/>
      </a:lt1>
      <a:dk2>
        <a:srgbClr val="0E2841"/>
      </a:dk2>
      <a:lt2>
        <a:srgbClr val="F5F7F9"/>
      </a:lt2>
      <a:accent1>
        <a:srgbClr val="1F4E78"/>
      </a:accent1>
      <a:accent2>
        <a:srgbClr val="5B9BD5"/>
      </a:accent2>
      <a:accent3>
        <a:srgbClr val="C9A227"/>
      </a:accent3>
      <a:accent4>
        <a:srgbClr val="548235"/>
      </a:accent4>
      <a:accent5>
        <a:srgbClr val="C65911"/>
      </a:accent5>
      <a:accent6>
        <a:srgbClr val="C00000"/>
      </a:accent6>
      <a:hlink>
        <a:srgbClr val="2F75B5"/>
      </a:hlink>
      <a:folHlink>
        <a:srgbClr val="7030A0"/>
      </a:folHlink>
    </a:clrScheme>
    <a:fontScheme name="Office">
      <a:majorFont>
        <a:latin typeface="Calibri Light"/>
        <a:ea typeface="Calibri Light"/>
        <a:cs typeface="Calibri Light"/>
      </a:majorFont>
      <a:minorFont>
        <a:latin typeface="Calibri"/>
        <a:ea typeface="Calibri"/>
        <a:cs typeface="Calibri"/>
      </a:minorFont>
    </a:fontScheme>
    <a:fmtScheme name="Souss Massa Institutionnel">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
  <sheetViews>
    <sheetView zoomScaleNormal="100" zoomScaleSheetLayoutView="100" workbookViewId="0">
      <selection activeCell="I4" sqref="I4"/>
    </sheetView>
  </sheetViews>
  <sheetFormatPr baseColWidth="10" defaultColWidth="8.69921875" defaultRowHeight="13.8"/>
  <cols>
    <col min="1" max="1" width="48" customWidth="1"/>
    <col min="2" max="2" width="20" customWidth="1"/>
    <col min="3" max="3" width="21" customWidth="1"/>
    <col min="4" max="4" width="19" customWidth="1"/>
    <col min="5" max="5" width="21" customWidth="1"/>
    <col min="6" max="6" width="25" customWidth="1"/>
  </cols>
  <sheetData>
    <row r="1" spans="1:6" ht="32.1" customHeight="1">
      <c r="A1" s="68" t="s">
        <v>347</v>
      </c>
      <c r="B1" s="68"/>
      <c r="C1" s="68"/>
      <c r="D1" s="68"/>
      <c r="E1" s="68"/>
      <c r="F1" s="68"/>
    </row>
    <row r="2" spans="1:6" ht="30" customHeight="1">
      <c r="A2" s="69" t="s">
        <v>0</v>
      </c>
      <c r="B2" s="69"/>
      <c r="C2" s="69"/>
      <c r="D2" s="69"/>
      <c r="E2" s="69"/>
      <c r="F2" s="69"/>
    </row>
    <row r="3" spans="1:6" ht="22.05" customHeight="1">
      <c r="A3" s="70" t="s">
        <v>1</v>
      </c>
      <c r="B3" s="70"/>
      <c r="C3" s="70"/>
      <c r="D3" s="70"/>
      <c r="E3" s="70"/>
      <c r="F3" s="70"/>
    </row>
    <row r="4" spans="1:6" ht="34.049999999999997" customHeight="1">
      <c r="A4" s="3" t="s">
        <v>2</v>
      </c>
      <c r="B4" s="3" t="s">
        <v>3</v>
      </c>
      <c r="C4" s="3" t="s">
        <v>4</v>
      </c>
      <c r="D4" s="3" t="s">
        <v>5</v>
      </c>
      <c r="E4" s="3" t="s">
        <v>6</v>
      </c>
      <c r="F4" s="3" t="s">
        <v>7</v>
      </c>
    </row>
    <row r="5" spans="1:6" ht="36" customHeight="1">
      <c r="A5" s="7" t="str" cm="1">
        <f t="array" aca="1" ref="A5:A77" ca="1">_xlfn._xlws.FILTER('Suivi simple'!$C$5:$C$235,(('Suivi simple'!$N$5:$N$235="🔴 En retard")+('Suivi simple'!$N$5:$N$235="🟠 À déclencher")+('Suivi simple'!$N$5:$N$235="⚪ À surveiller")),"")</f>
        <v>اتفاقیة شراكة متعلقة بالمساھمة في تنظیم تغازوت سورف اكسبو</v>
      </c>
      <c r="B5" s="10" t="e" cm="1">
        <f t="array" ref="B5">_xlfn._xlws.FILTER('Suivi simple'!#REF!,(('Suivi simple'!$N$5:$N$235="🔴 En retard")+('Suivi simple'!$N$5:$N$235="🟠 À déclencher")+('Suivi simple'!$N$5:$N$235="⚪ À surveiller")),"")</f>
        <v>#REF!</v>
      </c>
      <c r="C5" s="49" t="e" cm="1">
        <f t="array" ref="C5">_xlfn._xlws.FILTER('Suivi simple'!#REF!,(('Suivi simple'!$N$5:$N$235="🔴 En retard")+('Suivi simple'!$N$5:$N$235="🟠 À déclencher")+('Suivi simple'!$N$5:$N$235="⚪ À surveiller")),"")</f>
        <v>#REF!</v>
      </c>
      <c r="D5" s="13" cm="1">
        <f t="array" aca="1" ref="D5:D77" ca="1">_xlfn._xlws.FILTER('Suivi simple'!$L$5:$L$235,(('Suivi simple'!$N$5:$N$235="🔴 En retard")+('Suivi simple'!$N$5:$N$235="🟠 À déclencher")+('Suivi simple'!$N$5:$N$235="⚪ À surveiller")),"")</f>
        <v>46197</v>
      </c>
      <c r="E5" s="16" t="str" cm="1">
        <f t="array" aca="1" ref="E5:E77" ca="1">_xlfn._xlws.FILTER('Suivi simple'!$N$5:$N$235,(('Suivi simple'!$N$5:$N$235="🔴 En retard")+('Suivi simple'!$N$5:$N$235="🟠 À déclencher")+('Suivi simple'!$N$5:$N$235="⚪ À surveiller")),"")</f>
        <v>🔴 En retard</v>
      </c>
      <c r="F5" s="19" t="str" cm="1">
        <f t="array" aca="1" ref="F5:F77" ca="1">_xlfn._xlws.FILTER('Suivi simple'!$T$5:$T$235,(('Suivi simple'!$N$5:$N$235="🔴 En retard")+('Suivi simple'!$N$5:$N$235="🟠 À déclencher")+('Suivi simple'!$N$5:$N$235="⚪ À surveiller")),"")</f>
        <v>Organiser / régulariser</v>
      </c>
    </row>
    <row r="6" spans="1:6" ht="36" customHeight="1">
      <c r="A6" s="8" t="str">
        <f ca="1"/>
        <v>اتفاقیة شراكة من أجل الترویج السیاحي لجھة سوس ماسة</v>
      </c>
      <c r="B6" s="11"/>
      <c r="C6" s="50"/>
      <c r="D6" s="14">
        <f ca="1"/>
        <v>46176</v>
      </c>
      <c r="E6" s="17" t="str">
        <f ca="1"/>
        <v>🔴 En retard</v>
      </c>
      <c r="F6" s="20" t="str">
        <f ca="1"/>
        <v>Organiser / régulariser</v>
      </c>
    </row>
    <row r="7" spans="1:6" ht="36" customHeight="1">
      <c r="A7" s="8" t="str">
        <f ca="1"/>
        <v>اتفاقیة شراكة متعلقة بتجدید وإعادة تأھیل الوحدات الفندقیة</v>
      </c>
      <c r="B7" s="11"/>
      <c r="C7" s="50"/>
      <c r="D7" s="14">
        <f ca="1"/>
        <v>46204</v>
      </c>
      <c r="E7" s="17" t="str">
        <f ca="1"/>
        <v>🔴 En retard</v>
      </c>
      <c r="F7" s="20" t="str">
        <f ca="1"/>
        <v>Organiser / régulariser</v>
      </c>
    </row>
    <row r="8" spans="1:6" ht="36" customHeight="1">
      <c r="A8" s="8" t="str">
        <f ca="1"/>
        <v>اتفاقیة شراكة من اجل تكلیف شركة التنمیة السیاحیة لسوس ماسة بانجاز الدراسات واالشغال المتعلقة بتنمیة القطاع السیاحي خصوصا في المناطق الخلفیة لجھة سوس ماسة</v>
      </c>
      <c r="B8" s="11"/>
      <c r="C8" s="50"/>
      <c r="D8" s="14">
        <f ca="1"/>
        <v>46204</v>
      </c>
      <c r="E8" s="17" t="str">
        <f ca="1"/>
        <v>🔴 En retard</v>
      </c>
      <c r="F8" s="20" t="str">
        <f ca="1"/>
        <v>Organiser / régulariser</v>
      </c>
    </row>
    <row r="9" spans="1:6" ht="36" customHeight="1">
      <c r="A9" s="8" t="str">
        <f ca="1"/>
        <v>اتفاقیة الشراكة المتعلقة بتكلیف شركة التنمیة الجھویة "التنمیة السیاحیة لسوس ماسة " بإنجاز الدراسات و االشغال المتعلقة بتنمبة القطاع السیاحي خصوصا في المناطق الخلفیة لجھة سوس ماسة</v>
      </c>
      <c r="B9" s="11"/>
      <c r="C9" s="50"/>
      <c r="D9" s="14">
        <f ca="1"/>
        <v>46204</v>
      </c>
      <c r="E9" s="17" t="str">
        <f ca="1"/>
        <v>🔴 En retard</v>
      </c>
      <c r="F9" s="20" t="str">
        <f ca="1"/>
        <v>Organiser / régulariser</v>
      </c>
    </row>
    <row r="10" spans="1:6" ht="36" customHeight="1">
      <c r="A10" s="8" t="str">
        <f ca="1"/>
        <v>اتفاقیة شراكة متعلقة بتھیئة منطقة مخصصة الستقبال االستثمارات بجماعة امسوان</v>
      </c>
      <c r="B10" s="11"/>
      <c r="C10" s="50"/>
      <c r="D10" s="14">
        <f ca="1"/>
        <v>46204</v>
      </c>
      <c r="E10" s="17" t="str">
        <f ca="1"/>
        <v>🔴 En retard</v>
      </c>
      <c r="F10" s="20" t="str">
        <f ca="1"/>
        <v>Organiser / régulariser</v>
      </c>
    </row>
    <row r="11" spans="1:6" ht="36" customHeight="1">
      <c r="A11" s="8" t="str">
        <f ca="1"/>
        <v>اتفاقیة الشراكة المتعلقة بتھیئة "نقطة أنشور بتغازوت الستقبال االستثمارات السیاحیة "</v>
      </c>
      <c r="B11" s="11"/>
      <c r="C11" s="50"/>
      <c r="D11" s="14">
        <f ca="1"/>
        <v>46204</v>
      </c>
      <c r="E11" s="17" t="str">
        <f ca="1"/>
        <v>🔴 En retard</v>
      </c>
      <c r="F11" s="20" t="str">
        <f ca="1"/>
        <v>Organiser / régulariser</v>
      </c>
    </row>
    <row r="12" spans="1:6" ht="36" customHeight="1">
      <c r="A12" s="8" t="str">
        <f ca="1"/>
        <v>اتفاقیة شراكة من اجل تھیئة كورنیش تغازوت</v>
      </c>
      <c r="B12" s="11"/>
      <c r="C12" s="50"/>
      <c r="D12" s="14">
        <f ca="1"/>
        <v>46204</v>
      </c>
      <c r="E12" s="17" t="str">
        <f ca="1"/>
        <v>🔴 En retard</v>
      </c>
      <c r="F12" s="20" t="str">
        <f ca="1"/>
        <v>Organiser / régulariser</v>
      </c>
    </row>
    <row r="13" spans="1:6" ht="36" customHeight="1">
      <c r="A13" s="8" t="str">
        <f ca="1"/>
        <v>اتفاقیة شراكة بین وزارة السیاحة و الصناعة التقلیدیة و االقتصاد االجتماعي و التضامني و جھة سوس ماسة و المجالس اإلقلیمیة للسیاحة بالجھة</v>
      </c>
      <c r="B13" s="11"/>
      <c r="C13" s="50"/>
      <c r="D13" s="14">
        <f ca="1"/>
        <v>46266</v>
      </c>
      <c r="E13" s="17" t="str">
        <f ca="1"/>
        <v>🔴 En retard</v>
      </c>
      <c r="F13" s="20" t="str">
        <f ca="1"/>
        <v>Organiser / régulariser</v>
      </c>
    </row>
    <row r="14" spans="1:6" ht="36" customHeight="1">
      <c r="A14" s="8" t="str">
        <f ca="1"/>
        <v>اتفاقیة الشراكة بین جھة سوس ماسة والجامعة الملكیة المغربیة لركوب االمواج</v>
      </c>
      <c r="B14" s="11"/>
      <c r="C14" s="50"/>
      <c r="D14" s="14">
        <f ca="1"/>
        <v>46268</v>
      </c>
      <c r="E14" s="17" t="str">
        <f ca="1"/>
        <v>🔴 En retard</v>
      </c>
      <c r="F14" s="20" t="str">
        <f ca="1"/>
        <v>Organiser / régulariser</v>
      </c>
    </row>
    <row r="15" spans="1:6" ht="36" customHeight="1">
      <c r="A15" s="8" t="str">
        <f ca="1"/>
        <v>اتفاقیة شراكة بین جھة سوس ماسة وجمعیة التكنولوجیا الزراعیة لسوس ماسة</v>
      </c>
      <c r="B15" s="11"/>
      <c r="C15" s="50"/>
      <c r="D15" s="14">
        <f ca="1"/>
        <v>0</v>
      </c>
      <c r="E15" s="17" t="str">
        <f ca="1"/>
        <v>⚪ À surveiller</v>
      </c>
      <c r="F15" s="20" t="str">
        <f ca="1"/>
        <v>Vérifier le déclencheur</v>
      </c>
    </row>
    <row r="16" spans="1:6" ht="36" customHeight="1">
      <c r="A16" s="8" t="str">
        <f ca="1"/>
        <v>اتفاقیة شراكة من أجل تمویل مشاریع البحث العلمي بقطاع البستنة تماشیا مع التوجھات االستراتیجیة لمجلس جھة سوس ماسة في تدبیر الماء</v>
      </c>
      <c r="B16" s="11"/>
      <c r="C16" s="50"/>
      <c r="D16" s="14" t="str">
        <f ca="1"/>
        <v>2027</v>
      </c>
      <c r="E16" s="17" t="str">
        <f ca="1"/>
        <v>⚪ À surveiller</v>
      </c>
      <c r="F16" s="20" t="str">
        <f ca="1"/>
        <v>Vérifier le déclencheur</v>
      </c>
    </row>
    <row r="17" spans="1:6" ht="36" customHeight="1">
      <c r="A17" s="8" t="str">
        <f ca="1"/>
        <v>مشروع إتفاقیة شراكة بین جھة سوس ماسة وجمعیة أكادیر ألیوبول؛</v>
      </c>
      <c r="B17" s="11"/>
      <c r="C17" s="50"/>
      <c r="D17" s="14">
        <f ca="1"/>
        <v>46163</v>
      </c>
      <c r="E17" s="17" t="str">
        <f ca="1"/>
        <v>🔴 En retard</v>
      </c>
      <c r="F17" s="20" t="str">
        <f ca="1"/>
        <v>Organiser / régulariser</v>
      </c>
    </row>
    <row r="18" spans="1:6" ht="36" customHeight="1">
      <c r="A18" s="8" t="str">
        <f ca="1"/>
        <v>اتفاقیة شراكة إلنشاء مشاریع تربیة األحیاء البحریة مع مجموعة الشباب المقاول "شركة اكوا مول"</v>
      </c>
      <c r="B18" s="11"/>
      <c r="C18" s="50"/>
      <c r="D18" s="14" t="str">
        <f ca="1"/>
        <v>سیتم برمجة االجتماع بعد التوصل بتقریر حول حالة تقدم المشروع</v>
      </c>
      <c r="E18" s="17" t="str">
        <f ca="1"/>
        <v>⚪ À surveiller</v>
      </c>
      <c r="F18" s="20" t="str">
        <f ca="1"/>
        <v>Vérifier le déclencheur</v>
      </c>
    </row>
    <row r="19" spans="1:6" ht="36" customHeight="1">
      <c r="A19" s="8" t="str">
        <f ca="1"/>
        <v>اتفاقیة شراكة إلنشاء مشاریع تربیة األحیاء البحریة مع مجموعة الشباب المقاول "شركة بلو ھارفست"؛</v>
      </c>
      <c r="B19" s="11"/>
      <c r="C19" s="50"/>
      <c r="D19" s="14" t="str">
        <f ca="1"/>
        <v>سیتم برمجة االجتماع بعد التوصل بتقریر حول حالة تقدم المشروع</v>
      </c>
      <c r="E19" s="17" t="str">
        <f ca="1"/>
        <v>⚪ À surveiller</v>
      </c>
      <c r="F19" s="20" t="str">
        <f ca="1"/>
        <v>Vérifier le déclencheur</v>
      </c>
    </row>
    <row r="20" spans="1:6" ht="36" customHeight="1">
      <c r="A20" s="8" t="str">
        <f ca="1"/>
        <v>اتفاقیة شراكة القتناء وتجھیز منصة عائمة لتعبئة و تثمین منتوجات تربیة األحیاء البحریة بین جھة سوس ماسة و الوكالة الوطنیة لتنمیة تربیة األحیاء البحریة وتعاونیة أكواكول سوس ماسة</v>
      </c>
      <c r="B20" s="11"/>
      <c r="C20" s="50"/>
      <c r="D20" s="14" t="str">
        <f ca="1"/>
        <v>سیتم برمجة االجتماع بعد التوصل بتقریر حول حالة تقدم المشروع</v>
      </c>
      <c r="E20" s="17" t="str">
        <f ca="1"/>
        <v>⚪ À surveiller</v>
      </c>
      <c r="F20" s="20" t="str">
        <f ca="1"/>
        <v>Vérifier le déclencheur</v>
      </c>
    </row>
    <row r="21" spans="1:6" ht="36" customHeight="1">
      <c r="A21" s="8" t="str">
        <f ca="1"/>
        <v>اتفاقیة شراكة بین جھة سوس ماسة ، الوكالة الوطنیة لتنمیة تربیة االحیاء البحریة وشركة لفیكتوار سیفود</v>
      </c>
      <c r="B21" s="11"/>
      <c r="C21" s="50"/>
      <c r="D21" s="14" t="str">
        <f ca="1"/>
        <v>سیتم برمجة االجتماع بعد التوصل بتقریر حول حالة تقدم المشروع</v>
      </c>
      <c r="E21" s="17" t="str">
        <f ca="1"/>
        <v>⚪ À surveiller</v>
      </c>
      <c r="F21" s="20" t="str">
        <f ca="1"/>
        <v>Vérifier le déclencheur</v>
      </c>
    </row>
    <row r="22" spans="1:6" ht="36" customHeight="1">
      <c r="A22" s="8" t="str">
        <f ca="1"/>
        <v>اتفاقیة شراكة بین جھة سوس ماسة ، الوكالة الوطنیة لتنمیة تربیة االحیاء البحریة وشركة كباكوا</v>
      </c>
      <c r="B22" s="11"/>
      <c r="C22" s="50"/>
      <c r="D22" s="14" t="str">
        <f ca="1"/>
        <v>سیتم برمجة االجتماع بعد التوصل بتقریر حول حالة تقدم المشروع</v>
      </c>
      <c r="E22" s="17" t="str">
        <f ca="1"/>
        <v>⚪ À surveiller</v>
      </c>
      <c r="F22" s="20" t="str">
        <f ca="1"/>
        <v>Vérifier le déclencheur</v>
      </c>
    </row>
    <row r="23" spans="1:6" ht="36" customHeight="1">
      <c r="A23" s="8" t="str">
        <f ca="1"/>
        <v>اتفاقیة شراكة من أجل تھیئة قطب لتثمین منتوجات االحیاء البحریة -اكوابول تیغرت - في منطقة تیغرت – ایمي ودار</v>
      </c>
      <c r="B23" s="11"/>
      <c r="C23" s="50"/>
      <c r="D23" s="14">
        <f ca="1"/>
        <v>46295</v>
      </c>
      <c r="E23" s="17" t="str">
        <f ca="1"/>
        <v>🟠 À déclencher</v>
      </c>
      <c r="F23" s="20" t="str">
        <f ca="1"/>
        <v>Préparer la convocation</v>
      </c>
    </row>
    <row r="24" spans="1:6" ht="36" customHeight="1">
      <c r="A24" s="8" t="str">
        <f ca="1"/>
        <v>اتفاقیة شراكة بین الجھة و جمعیة لوجیبول سوس ماسة</v>
      </c>
      <c r="B24" s="11"/>
      <c r="C24" s="50"/>
      <c r="D24" s="14">
        <f ca="1"/>
        <v>46295</v>
      </c>
      <c r="E24" s="17" t="str">
        <f ca="1"/>
        <v>🟠 À déclencher</v>
      </c>
      <c r="F24" s="20" t="str">
        <f ca="1"/>
        <v>Préparer la convocation</v>
      </c>
    </row>
    <row r="25" spans="1:6" ht="36" customHeight="1">
      <c r="A25" s="8" t="str">
        <f ca="1"/>
        <v>اتفاقیة شراكة حول إحداث تیكنوبارك بمدینة تیزنیت</v>
      </c>
      <c r="B25" s="11"/>
      <c r="C25" s="50"/>
      <c r="D25" s="14" t="str">
        <f ca="1"/>
        <v>في انتظار برمجة اجتماع من طرف جماعة تزنیت باعتبارھا رئیسة لجنة التتبع</v>
      </c>
      <c r="E25" s="17" t="str">
        <f ca="1"/>
        <v>⚪ À surveiller</v>
      </c>
      <c r="F25" s="20" t="str">
        <f ca="1"/>
        <v>Vérifier le déclencheur</v>
      </c>
    </row>
    <row r="26" spans="1:6" ht="36" customHeight="1">
      <c r="A26" s="8" t="str">
        <f ca="1"/>
        <v>اتفاقیة شراكة من اجل دعم تدبیر واستغالل تكنوبارك اكادیر</v>
      </c>
      <c r="B26" s="11"/>
      <c r="C26" s="50"/>
      <c r="D26" s="14" t="str">
        <f ca="1"/>
        <v>االربعاء 08 یولیوز 2026</v>
      </c>
      <c r="E26" s="17" t="str">
        <f ca="1"/>
        <v>⚪ À surveiller</v>
      </c>
      <c r="F26" s="20" t="str">
        <f ca="1"/>
        <v>Vérifier le déclencheur</v>
      </c>
    </row>
    <row r="27" spans="1:6" ht="36" customHeight="1">
      <c r="A27" s="8" t="str">
        <f ca="1"/>
        <v>اتفاقیة شراكة من اجل احداث وتدبیر مركز لتكوین الشباب في مجال JADARA البرمجة الرقمیة بجھة سوس ماسة</v>
      </c>
      <c r="B27" s="11"/>
      <c r="C27" s="50"/>
      <c r="D27" s="14" t="str">
        <f ca="1"/>
        <v>الخمیس 09 یولیوز 2026</v>
      </c>
      <c r="E27" s="17" t="str">
        <f ca="1"/>
        <v>⚪ À surveiller</v>
      </c>
      <c r="F27" s="20" t="str">
        <f ca="1"/>
        <v>Vérifier le déclencheur</v>
      </c>
    </row>
    <row r="28" spans="1:6" ht="36" customHeight="1">
      <c r="A28" s="8" t="str">
        <f ca="1"/>
        <v>اتفاقیة شراكة من أجل دعم تدبیر و تنشیط مدینة االبتكار سوس ماسة</v>
      </c>
      <c r="B28" s="11"/>
      <c r="C28" s="50"/>
      <c r="D28" s="14" t="str">
        <f ca="1"/>
        <v>الجمعة 10 یولیوز 2026</v>
      </c>
      <c r="E28" s="17" t="str">
        <f ca="1"/>
        <v>⚪ À surveiller</v>
      </c>
      <c r="F28" s="20" t="str">
        <f ca="1"/>
        <v>Vérifier le déclencheur</v>
      </c>
    </row>
    <row r="29" spans="1:6" ht="36" customHeight="1">
      <c r="A29" s="8" t="str">
        <f ca="1"/>
        <v>اتفاقیة شراكة من أجل دعم تكوین و ادماج الشباب في مجل مھن School Digital - الرقمنة بجھة سوس ماسة</v>
      </c>
      <c r="B29" s="11"/>
      <c r="C29" s="50"/>
      <c r="D29" s="14" t="str">
        <f ca="1"/>
        <v>تمت مراسلة السید الوالي من اجل برمجة اجتماع لجنة التتبع ارسالیة عدد 842 بتاریخ 10 یونیو 2026</v>
      </c>
      <c r="E29" s="17" t="str">
        <f ca="1"/>
        <v>⚪ À surveiller</v>
      </c>
      <c r="F29" s="20" t="str">
        <f ca="1"/>
        <v>Vérifier le déclencheur</v>
      </c>
    </row>
    <row r="30" spans="1:6" ht="36" customHeight="1">
      <c r="A30" s="8" t="str">
        <f ca="1"/>
        <v>اتفاقیة شراكة خاصة بتجھیز واستغالل وتدبیر تكنوبارك تیزنیت</v>
      </c>
      <c r="B30" s="11"/>
      <c r="C30" s="50"/>
      <c r="D30" s="14" t="str">
        <f ca="1"/>
        <v>في انتظار توقیع االتفاقیة من طرف وزارة االنتقال الرقمي و اصالح االدارة</v>
      </c>
      <c r="E30" s="17" t="str">
        <f ca="1"/>
        <v>⚪ À surveiller</v>
      </c>
      <c r="F30" s="20" t="str">
        <f ca="1"/>
        <v>Vérifier le déclencheur</v>
      </c>
    </row>
    <row r="31" spans="1:6" ht="36" customHeight="1">
      <c r="A31" s="8" t="str">
        <f ca="1"/>
        <v>اتفاقیة اطار الشراكة لتعزیز البحث العلمي و التكوین واالبتكار في مجال تدبیر الموارد المائیة</v>
      </c>
      <c r="B31" s="11"/>
      <c r="C31" s="50"/>
      <c r="D31" s="14" t="str">
        <f ca="1"/>
        <v>في انتظار استكمال التوقیعات من طرف باقي االطراف</v>
      </c>
      <c r="E31" s="17" t="str">
        <f ca="1"/>
        <v>⚪ À surveiller</v>
      </c>
      <c r="F31" s="20" t="str">
        <f ca="1"/>
        <v>Vérifier le déclencheur</v>
      </c>
    </row>
    <row r="32" spans="1:6" ht="36" customHeight="1">
      <c r="A32" s="8" t="str">
        <f ca="1"/>
        <v>اتفاقیة شراكة وتعاون مع جمعیة مبادرة سوس ماسة</v>
      </c>
      <c r="B32" s="11"/>
      <c r="C32" s="50"/>
      <c r="D32" s="14" t="str">
        <f ca="1"/>
        <v>-09-2026 21</v>
      </c>
      <c r="E32" s="17" t="str">
        <f ca="1"/>
        <v>⚪ À surveiller</v>
      </c>
      <c r="F32" s="20" t="str">
        <f ca="1"/>
        <v>Vérifier le déclencheur</v>
      </c>
    </row>
    <row r="33" spans="1:6" ht="36" customHeight="1">
      <c r="A33" s="8" t="str">
        <f ca="1"/>
        <v>اتفاقیة شراكة الحداث منطقة االنشطة االقتصادیة بمدینة طاطا</v>
      </c>
      <c r="B33" s="11"/>
      <c r="C33" s="50"/>
      <c r="D33" s="14" t="str">
        <f ca="1"/>
        <v>مراسلة السید الوالي</v>
      </c>
      <c r="E33" s="17" t="str">
        <f ca="1"/>
        <v>⚪ À surveiller</v>
      </c>
      <c r="F33" s="20" t="str">
        <f ca="1"/>
        <v>Vérifier le déclencheur</v>
      </c>
    </row>
    <row r="34" spans="1:6" ht="36" customHeight="1">
      <c r="A34" s="8" t="str">
        <f ca="1"/>
        <v>اتفاقیة شراكة النجاز محطة تصفیة المیاه العادمة بالمنطقة الصناعیة اوالد تایمة</v>
      </c>
      <c r="B34" s="11"/>
      <c r="C34" s="50"/>
      <c r="D34" s="14" t="str">
        <f ca="1"/>
        <v>مراسلة السید العامل</v>
      </c>
      <c r="E34" s="17" t="str">
        <f ca="1"/>
        <v>⚪ À surveiller</v>
      </c>
      <c r="F34" s="20" t="str">
        <f ca="1"/>
        <v>Vérifier le déclencheur</v>
      </c>
    </row>
    <row r="35" spans="1:6" ht="36" customHeight="1">
      <c r="A35" s="8" t="str">
        <f ca="1"/>
        <v>اتفاقیة شراكة من اجل دعم االستثمار بجھة سوس ماسة في إطار مخطط التسریع الصناعي لفائدة شركة "VETCAM"</v>
      </c>
      <c r="B35" s="11"/>
      <c r="C35" s="50"/>
      <c r="D35" s="14">
        <f ca="1"/>
        <v>0</v>
      </c>
      <c r="E35" s="17" t="str">
        <f ca="1"/>
        <v>⚪ À surveiller</v>
      </c>
      <c r="F35" s="20" t="str">
        <f ca="1"/>
        <v>Vérifier le déclencheur</v>
      </c>
    </row>
    <row r="36" spans="1:6" ht="36" customHeight="1">
      <c r="A36" s="8" t="str">
        <f ca="1"/>
        <v>اتفاقیة شراكة من اجل انجاز برنامج دعم الشباب لخلق وتطویر انشطة مقاوالتیة صغیرة جدا بجھة سوس ماسة TPE</v>
      </c>
      <c r="B36" s="11"/>
      <c r="C36" s="50"/>
      <c r="D36" s="14">
        <f ca="1"/>
        <v>46282</v>
      </c>
      <c r="E36" s="17" t="str">
        <f ca="1"/>
        <v>🔴 En retard</v>
      </c>
      <c r="F36" s="20" t="str">
        <f ca="1"/>
        <v>Organiser / régulariser</v>
      </c>
    </row>
    <row r="37" spans="1:6" ht="36" customHeight="1">
      <c r="A37" s="8" t="str">
        <f ca="1"/>
        <v>اتفاقیة شراكة من اجل برنامج دعم الشباب لخلق وتطویر انشطة مدرة للدخل AGR</v>
      </c>
      <c r="B37" s="11"/>
      <c r="C37" s="50"/>
      <c r="D37" s="14">
        <f ca="1"/>
        <v>46282</v>
      </c>
      <c r="E37" s="17" t="str">
        <f ca="1"/>
        <v>🔴 En retard</v>
      </c>
      <c r="F37" s="20" t="str">
        <f ca="1"/>
        <v>Organiser / régulariser</v>
      </c>
    </row>
    <row r="38" spans="1:6" ht="36" customHeight="1">
      <c r="A38" s="8" t="str">
        <f ca="1"/>
        <v>اتفاقیة شراكة متعلقة بالمساھمة في تمویل احداث وتفعیل الیة لدعم ومواكبة تسریع تطور المقاوالت السیاحیة الصغرى والمتوسطة والصغیرة جدا بجھة سوس ماسة</v>
      </c>
      <c r="B38" s="11"/>
      <c r="C38" s="50"/>
      <c r="D38" s="14">
        <f ca="1"/>
        <v>46281</v>
      </c>
      <c r="E38" s="17" t="str">
        <f ca="1"/>
        <v>🔴 En retard</v>
      </c>
      <c r="F38" s="20" t="str">
        <f ca="1"/>
        <v>Organiser / régulariser</v>
      </c>
    </row>
    <row r="39" spans="1:6" ht="36" customHeight="1">
      <c r="A39" s="8" t="str">
        <f ca="1"/>
        <v>اتفاقیة اشراكة من اجل انجاز البرنامج الجھوي المندمج لمواكبة المقاوالت الصغیرة و الصغیرة جدا بجھة سوس ماسة ABRID</v>
      </c>
      <c r="B39" s="11"/>
      <c r="C39" s="50"/>
      <c r="D39" s="14">
        <f ca="1"/>
        <v>46273</v>
      </c>
      <c r="E39" s="17" t="str">
        <f ca="1"/>
        <v>🔴 En retard</v>
      </c>
      <c r="F39" s="20" t="str">
        <f ca="1"/>
        <v>Organiser / régulariser</v>
      </c>
    </row>
    <row r="40" spans="1:6" ht="36" customHeight="1">
      <c r="A40" s="8" t="str">
        <f ca="1"/>
        <v>اتفاقیة الشراكة من أجل دعم التشغیل بمنظومة ترحیل الخدمات بجھة سوس ماسة لفائدة شركة سیكوال</v>
      </c>
      <c r="B40" s="11"/>
      <c r="C40" s="50"/>
      <c r="D40" s="14" t="str">
        <f ca="1"/>
        <v>مراسلة السید الوالي</v>
      </c>
      <c r="E40" s="17" t="str">
        <f ca="1"/>
        <v>⚪ À surveiller</v>
      </c>
      <c r="F40" s="20" t="str">
        <f ca="1"/>
        <v>Vérifier le déclencheur</v>
      </c>
    </row>
    <row r="41" spans="1:6" ht="36" customHeight="1">
      <c r="A41" s="8" t="str">
        <f ca="1"/>
        <v>اتفاقیة شراكة خاصة بتنزیل البرنامج الجھوي من أجل دعم التشغیل واالستثمار بجھة سوس ماسة</v>
      </c>
      <c r="B41" s="11"/>
      <c r="C41" s="50"/>
      <c r="D41" s="14">
        <f ca="1"/>
        <v>0</v>
      </c>
      <c r="E41" s="17" t="str">
        <f ca="1"/>
        <v>⚪ À surveiller</v>
      </c>
      <c r="F41" s="20" t="str">
        <f ca="1"/>
        <v>Vérifier le déclencheur</v>
      </c>
    </row>
    <row r="42" spans="1:6" ht="36" customHeight="1">
      <c r="A42" s="8" t="str">
        <f ca="1"/>
        <v>اتفاقیة شراكة دعم ومواكبة األنشطة المدرة للدخل بإقلیم طاطا AGR</v>
      </c>
      <c r="B42" s="11"/>
      <c r="C42" s="50"/>
      <c r="D42" s="14">
        <f ca="1"/>
        <v>46281</v>
      </c>
      <c r="E42" s="17" t="str">
        <f ca="1"/>
        <v>🔴 En retard</v>
      </c>
      <c r="F42" s="20" t="str">
        <f ca="1"/>
        <v>Organiser / régulariser</v>
      </c>
    </row>
    <row r="43" spans="1:6" ht="36" customHeight="1">
      <c r="A43" s="8" t="str">
        <f ca="1"/>
        <v>اتفاقیة شراكة من أجل إعادة تأھیل المنطقة الصناعیة الیت ملول واحداث نظام تدبیري مستدام بھا</v>
      </c>
      <c r="B43" s="11"/>
      <c r="C43" s="50"/>
      <c r="D43" s="14">
        <f ca="1"/>
        <v>46211</v>
      </c>
      <c r="E43" s="17" t="str">
        <f ca="1"/>
        <v>🔴 En retard</v>
      </c>
      <c r="F43" s="20" t="str">
        <f ca="1"/>
        <v>Organiser / régulariser</v>
      </c>
    </row>
    <row r="44" spans="1:6" ht="36" customHeight="1">
      <c r="A44" s="8" t="str">
        <f ca="1"/>
        <v>اتفاقیة شراكة انجاز محطات متنقلة لتحلیة میاه البحر وإزالة الملحة</v>
      </c>
      <c r="B44" s="11"/>
      <c r="C44" s="50"/>
      <c r="D44" s="14" t="str">
        <f ca="1"/>
        <v>غیر محدد</v>
      </c>
      <c r="E44" s="17" t="str">
        <f ca="1"/>
        <v>⚪ À surveiller</v>
      </c>
      <c r="F44" s="20" t="str">
        <f ca="1"/>
        <v>Vérifier le déclencheur</v>
      </c>
    </row>
    <row r="45" spans="1:6" ht="36" customHeight="1">
      <c r="A45" s="8" t="str">
        <f ca="1"/>
        <v>اتفـــاقیة شراكة من أجل إنجاز أشغال الحمایة من الفیضانات للسوق األسبوعي و الدواویر المجاورة بجماعة بونعمان بإقلیم تزنیت</v>
      </c>
      <c r="B45" s="11"/>
      <c r="C45" s="50"/>
      <c r="D45" s="14" t="str">
        <f ca="1"/>
        <v>غیر محدد</v>
      </c>
      <c r="E45" s="17" t="str">
        <f ca="1"/>
        <v>⚪ À surveiller</v>
      </c>
      <c r="F45" s="20" t="str">
        <f ca="1"/>
        <v>Vérifier le déclencheur</v>
      </c>
    </row>
    <row r="46" spans="1:6" ht="36" customHeight="1">
      <c r="A46" s="8" t="str">
        <f ca="1"/>
        <v>اتفاقیة شراكة و تعاون لتمویل و انجاز مشروع قناة تصریف میاه وادي أوركة للحمایة من خطر الفیضانات بجماعة أوالد دحو بعمالة انزكان أیت ملول و جماعة لكفیفات بإقلیم تارودانت</v>
      </c>
      <c r="B46" s="11"/>
      <c r="C46" s="50"/>
      <c r="D46" s="14" t="str">
        <f ca="1"/>
        <v>غیر محدد</v>
      </c>
      <c r="E46" s="17" t="str">
        <f ca="1"/>
        <v>⚪ À surveiller</v>
      </c>
      <c r="F46" s="20" t="str">
        <f ca="1"/>
        <v>Vérifier le déclencheur</v>
      </c>
    </row>
    <row r="47" spans="1:6" ht="36" customHeight="1">
      <c r="A47" s="8" t="str">
        <f ca="1"/>
        <v>اتفـــاقیة شراكة تتعلق بأشغال الحمایة من الفیضانات لمركز الجماعة الترابیة بلفاع</v>
      </c>
      <c r="B47" s="11"/>
      <c r="C47" s="50"/>
      <c r="D47" s="14" t="str">
        <f ca="1"/>
        <v>غیر محدد</v>
      </c>
      <c r="E47" s="17" t="str">
        <f ca="1"/>
        <v>⚪ À surveiller</v>
      </c>
      <c r="F47" s="20" t="str">
        <f ca="1"/>
        <v>Vérifier le déclencheur</v>
      </c>
    </row>
    <row r="48" spans="1:6" ht="36" customHeight="1">
      <c r="A48" s="8" t="str">
        <f ca="1"/>
        <v>اتفاقیة متعلقة بإنجاز مشروع حمایة دوار أیت أمریبط ودوار الدشیرة من خطر الفیضانات بجماعة المعذر الكبیر إقلیم تیزنیت المقدم في إطار طلب المشاریع لسنة2022، الممولة من طرف‘’ صندوق مكافحة آثار الكوارث الطبیعیة.</v>
      </c>
      <c r="B48" s="11"/>
      <c r="C48" s="50"/>
      <c r="D48" s="14" t="str">
        <f ca="1"/>
        <v>غیر محدد</v>
      </c>
      <c r="E48" s="17" t="str">
        <f ca="1"/>
        <v>⚪ À surveiller</v>
      </c>
      <c r="F48" s="20" t="str">
        <f ca="1"/>
        <v>Vérifier le déclencheur</v>
      </c>
    </row>
    <row r="49" spans="1:6" ht="36" customHeight="1">
      <c r="A49" s="8" t="str">
        <f ca="1"/>
        <v>اتفاقیة شراكة إلنجاز مشروع حمایة جماعة أوالد عیسى من الفیضانات بإقلیم تارودانت</v>
      </c>
      <c r="B49" s="11"/>
      <c r="C49" s="50"/>
      <c r="D49" s="14" t="str">
        <f ca="1"/>
        <v>غیر محدد</v>
      </c>
      <c r="E49" s="17" t="str">
        <f ca="1"/>
        <v>⚪ À surveiller</v>
      </c>
      <c r="F49" s="20" t="str">
        <f ca="1"/>
        <v>Vérifier le déclencheur</v>
      </c>
    </row>
    <row r="50" spans="1:6" ht="36" customHeight="1">
      <c r="A50" s="8" t="str">
        <f ca="1"/>
        <v>اتفاقیة شراكة متعلقة بإنجاز مشروع حمایة مركز أنزي من الفیضانات بإقلیم تزنیت، المقدم في إطار طلب المشاریع لسنة 2021، الممولة من طرف "صندوق مكافحة آثار الكوارث الطبیعیة"</v>
      </c>
      <c r="B50" s="11"/>
      <c r="C50" s="50"/>
      <c r="D50" s="14" t="str">
        <f ca="1"/>
        <v>غیر محدد</v>
      </c>
      <c r="E50" s="17" t="str">
        <f ca="1"/>
        <v>⚪ À surveiller</v>
      </c>
      <c r="F50" s="20" t="str">
        <f ca="1"/>
        <v>Vérifier le déclencheur</v>
      </c>
    </row>
    <row r="51" spans="1:6" ht="36" customHeight="1">
      <c r="A51" s="8" t="str">
        <f ca="1"/>
        <v>مشروع حمایة دواویر اساكا، اسملیل، والد مراح، طاكینت من الفیضانات بجماعة الوكوم إقلیم طاطا المقدم في إطار طلب المشاریع لسنة 2021، الممولة من طرف "صندوق مكافحة آثار الكوارث الطبیعیة"</v>
      </c>
      <c r="B51" s="11"/>
      <c r="C51" s="50"/>
      <c r="D51" s="14" t="str">
        <f ca="1"/>
        <v>غیر محدد</v>
      </c>
      <c r="E51" s="17" t="str">
        <f ca="1"/>
        <v>⚪ À surveiller</v>
      </c>
      <c r="F51" s="20" t="str">
        <f ca="1"/>
        <v>Vérifier le déclencheur</v>
      </c>
    </row>
    <row r="52" spans="1:6" ht="36" customHeight="1">
      <c r="A52" s="8" t="str">
        <f ca="1"/>
        <v>تفـــاقیة شراكة تتعلق بأشغال الحمایة من الفیضانات بجماعة إســـن –إقلیم تارودانت</v>
      </c>
      <c r="B52" s="11"/>
      <c r="C52" s="50"/>
      <c r="D52" s="14" t="str">
        <f ca="1"/>
        <v>-</v>
      </c>
      <c r="E52" s="17" t="str">
        <f ca="1"/>
        <v>⚪ À surveiller</v>
      </c>
      <c r="F52" s="20" t="str">
        <f ca="1"/>
        <v>Vérifier le déclencheur</v>
      </c>
    </row>
    <row r="53" spans="1:6" ht="36" customHeight="1">
      <c r="A53" s="8" t="str">
        <f ca="1"/>
        <v>مشروع حمایة واحة إسي أیت منصور من الفیضانات بجماعة أفال إغیر إقلیم تزنیت المقدم في إطار طلب المشاریع لسنة 2021، الممولة من طرف "صندوق مكافحة آثار الكوارث الطبیعیة"</v>
      </c>
      <c r="B53" s="11"/>
      <c r="C53" s="50"/>
      <c r="D53" s="14" t="str">
        <f ca="1"/>
        <v>-</v>
      </c>
      <c r="E53" s="17" t="str">
        <f ca="1"/>
        <v>⚪ À surveiller</v>
      </c>
      <c r="F53" s="20" t="str">
        <f ca="1"/>
        <v>Vérifier le déclencheur</v>
      </c>
    </row>
    <row r="54" spans="1:6" ht="36" customHeight="1">
      <c r="A54" s="8" t="str">
        <f ca="1"/>
        <v>مشروع حمایة حي تمزارت من الفیضانات بجماعة ایت ملول، عمالة انزكان ایت ملول، المقدم في إطار طلب المشاریع لسنة2022، الممولة من طرف "صندوق مكافحة آثار الكوارث الطبیعیة"</v>
      </c>
      <c r="B54" s="11"/>
      <c r="C54" s="50"/>
      <c r="D54" s="14" t="str">
        <f ca="1"/>
        <v>غیر محدد</v>
      </c>
      <c r="E54" s="17" t="str">
        <f ca="1"/>
        <v>⚪ À surveiller</v>
      </c>
      <c r="F54" s="20" t="str">
        <f ca="1"/>
        <v>Vérifier le déclencheur</v>
      </c>
    </row>
    <row r="55" spans="1:6" ht="36" customHeight="1">
      <c r="A55" s="8" t="str">
        <f ca="1"/>
        <v>مشروع: حمایة مركز تامري من الفیضانات بجماعة تامري عمالة اكادیر ادا وتنان، المقدم في إطار طلب المشاریع لسنة2022، الممولة من طرف "صندوق مكافحة آثار الكوارث الطبیعیة"</v>
      </c>
      <c r="B55" s="11"/>
      <c r="C55" s="50"/>
      <c r="D55" s="14" t="str">
        <f ca="1"/>
        <v>غیر محدد</v>
      </c>
      <c r="E55" s="17" t="str">
        <f ca="1"/>
        <v>⚪ À surveiller</v>
      </c>
      <c r="F55" s="20" t="str">
        <f ca="1"/>
        <v>Vérifier le déclencheur</v>
      </c>
    </row>
    <row r="56" spans="1:6" ht="36" customHeight="1">
      <c r="A56" s="8" t="str">
        <f ca="1"/>
        <v>مشروع حمایة الدراركة من الفیضانات بعمالة أكادیر اداوتنان - الشطر الثاني- المقدم في إطار طلب المشاریع لسنة 2022،الممول من طرف "صندوق مكافحة آثار الكوارث الطبیعیة"</v>
      </c>
      <c r="B56" s="11"/>
      <c r="C56" s="50"/>
      <c r="D56" s="14" t="str">
        <f ca="1"/>
        <v>غیر محدد</v>
      </c>
      <c r="E56" s="17" t="str">
        <f ca="1"/>
        <v>⚪ À surveiller</v>
      </c>
      <c r="F56" s="20" t="str">
        <f ca="1"/>
        <v>Vérifier le déclencheur</v>
      </c>
    </row>
    <row r="57" spans="1:6" ht="36" customHeight="1">
      <c r="A57" s="8" t="str">
        <f ca="1"/>
        <v>مشروع حمایة مركز تیغمي من الفیضانات بإقلیم تزنیت، المقدم في إطار طلب المشاریع لسنة2022، الممول من طرف "صندوق مكافحة آثار الكوارث الطبیعیة"</v>
      </c>
      <c r="B57" s="11"/>
      <c r="C57" s="50"/>
      <c r="D57" s="14" t="str">
        <f ca="1"/>
        <v>-</v>
      </c>
      <c r="E57" s="17" t="str">
        <f ca="1"/>
        <v>⚪ À surveiller</v>
      </c>
      <c r="F57" s="20" t="str">
        <f ca="1"/>
        <v>Vérifier le déclencheur</v>
      </c>
    </row>
    <row r="58" spans="1:6" ht="36" customHeight="1">
      <c r="A58" s="8" t="str">
        <f ca="1"/>
        <v>مشروع بناء حواجز للوقایة من الفیضانات لعدة دواویر بجماعة اداكوكمار بإقلیم تزنیت جھة سوس ماسة لمقدم في إطار طلب المشاریع لسنة2022، الممول من طرف صندوق الحد من آثار الكوارث الطبیعیة</v>
      </c>
      <c r="B58" s="11"/>
      <c r="C58" s="50"/>
      <c r="D58" s="14" t="str">
        <f ca="1"/>
        <v>غیر محدد</v>
      </c>
      <c r="E58" s="17" t="str">
        <f ca="1"/>
        <v>⚪ À surveiller</v>
      </c>
      <c r="F58" s="20" t="str">
        <f ca="1"/>
        <v>Vérifier le déclencheur</v>
      </c>
    </row>
    <row r="59" spans="1:6" ht="36" customHeight="1">
      <c r="A59" s="8" t="str">
        <f ca="1"/>
        <v>اتفاقیة متعلقة بإنجاز قنطرة على واد انكران بجماعة إذاكوكمار بإقلیم تزنیت الممول من طرف صندوق الحد من آثار الكوارث الطبیعیة لسنة 2022 عبر التمویل المباشر</v>
      </c>
      <c r="B59" s="11"/>
      <c r="C59" s="50"/>
      <c r="D59" s="14" t="str">
        <f ca="1"/>
        <v>غیر محدد</v>
      </c>
      <c r="E59" s="17" t="str">
        <f ca="1"/>
        <v>⚪ À surveiller</v>
      </c>
      <c r="F59" s="20" t="str">
        <f ca="1"/>
        <v>Vérifier le déclencheur</v>
      </c>
    </row>
    <row r="60" spans="1:6" ht="36" customHeight="1">
      <c r="A60" s="8" t="str">
        <f ca="1"/>
        <v>إنجاز مشروع حمایة جماعة تالوین من الفیضانات إقلیم تارودانت- الشطر الثاني-،الممول من طرف صندوق الحد من آثار الكوارث الطبیعیة لسنة 2022 عبر التمویل المباشر</v>
      </c>
      <c r="B60" s="11"/>
      <c r="C60" s="50"/>
      <c r="D60" s="14" t="str">
        <f ca="1"/>
        <v>غیر محدد</v>
      </c>
      <c r="E60" s="17" t="str">
        <f ca="1"/>
        <v>⚪ À surveiller</v>
      </c>
      <c r="F60" s="20" t="str">
        <f ca="1"/>
        <v>Vérifier le déclencheur</v>
      </c>
    </row>
    <row r="61" spans="1:6" ht="36" customHeight="1">
      <c r="A61" s="8" t="str">
        <f ca="1"/>
        <v>بإنجاز مشروع: الحمایة من الفیضانات لجماعة اسایس بإقلیم تارودانت ، المقدم في إطار طلب المشاریع لسنة2022، الممولة من طرف "صندوق مكافحة آثار الكوارث الطبیعیة"</v>
      </c>
      <c r="B61" s="11"/>
      <c r="C61" s="50"/>
      <c r="D61" s="14" t="str">
        <f ca="1"/>
        <v>غیر محدد</v>
      </c>
      <c r="E61" s="17" t="str">
        <f ca="1"/>
        <v>⚪ À surveiller</v>
      </c>
      <c r="F61" s="20" t="str">
        <f ca="1"/>
        <v>Vérifier le déclencheur</v>
      </c>
    </row>
    <row r="62" spans="1:6" ht="36" customHeight="1">
      <c r="A62" s="8" t="str">
        <f ca="1"/>
        <v>مشروع حمایة جماعة تالكجونت من الفیضانات بإقلیم تارودانت، المقدم في إطار طلب المشاریع لسنة2022، الممولة من طرف "صندوق مكافحة آثار الكوارث الطبیعیة"</v>
      </c>
      <c r="B62" s="11"/>
      <c r="C62" s="50"/>
      <c r="D62" s="14" t="str">
        <f ca="1"/>
        <v>-</v>
      </c>
      <c r="E62" s="17" t="str">
        <f ca="1"/>
        <v>⚪ À surveiller</v>
      </c>
      <c r="F62" s="20" t="str">
        <f ca="1"/>
        <v>Vérifier le déclencheur</v>
      </c>
    </row>
    <row r="63" spans="1:6" ht="36" customHeight="1">
      <c r="A63" s="8" t="str">
        <f ca="1"/>
        <v>انجاز مشروع حمایة جماعة سیدي واعزیز من الفیضانات بإقلیم تارودانت، الممول من طرف "صندوق مكافحة آثارا لكوارث الطبیعیة" لسنة 2023 عبر التمویل المباشر</v>
      </c>
      <c r="B63" s="11"/>
      <c r="C63" s="50"/>
      <c r="D63" s="14" t="str">
        <f ca="1"/>
        <v>غیر محدد</v>
      </c>
      <c r="E63" s="17" t="str">
        <f ca="1"/>
        <v>⚪ À surveiller</v>
      </c>
      <c r="F63" s="20" t="str">
        <f ca="1"/>
        <v>Vérifier le déclencheur</v>
      </c>
    </row>
    <row r="64" spans="1:6" ht="36" customHeight="1">
      <c r="A64" s="8" t="str">
        <f ca="1"/>
        <v>انجاز مشروع حمایة مركز المعدر الكبیر من الفیضانات - الشطر الثاني- بإقلیم تیزنیت ،المقدم في إطار طلب المشاریع لسنة 2021 ، الممول من طرف "صندوق مكافحة آثارا لكوارث الطبیعیة"</v>
      </c>
      <c r="B64" s="11"/>
      <c r="C64" s="50"/>
      <c r="D64" s="14" t="str">
        <f ca="1"/>
        <v>-</v>
      </c>
      <c r="E64" s="17" t="str">
        <f ca="1"/>
        <v>⚪ À surveiller</v>
      </c>
      <c r="F64" s="20" t="str">
        <f ca="1"/>
        <v>Vérifier le déclencheur</v>
      </c>
    </row>
    <row r="65" spans="1:6" ht="36" customHeight="1">
      <c r="A65" s="8" t="str">
        <f ca="1"/>
        <v>حمایة دوار امي نتاتلت من الفیضانات بجماعة ابن یعقوب بإقلیم طــاطـــا المقدم في إطار طلب المشاریع:سنة 2023، الممولة من طرف "صندوق مكافحة آثار الكوارث الطبیعیة"</v>
      </c>
      <c r="B65" s="11"/>
      <c r="C65" s="50"/>
      <c r="D65" s="14" t="str">
        <f ca="1"/>
        <v>غیر محدد</v>
      </c>
      <c r="E65" s="17" t="str">
        <f ca="1"/>
        <v>⚪ À surveiller</v>
      </c>
      <c r="F65" s="20" t="str">
        <f ca="1"/>
        <v>Vérifier le déclencheur</v>
      </c>
    </row>
    <row r="66" spans="1:6" ht="36" customHeight="1">
      <c r="A66" s="8" t="str">
        <f ca="1"/>
        <v>حمایة دواویر أكینان من خطر الفیضانات بجماعة أكینان بإقلیم طاطا، المقدم في إطار طلب المشاریع سنة 2023، الممولة من طرف "صندوق مكافحة آثار الكوارث الطبیعیة"</v>
      </c>
      <c r="B66" s="11"/>
      <c r="C66" s="50"/>
      <c r="D66" s="14" t="str">
        <f ca="1"/>
        <v>غیر محدد</v>
      </c>
      <c r="E66" s="17" t="str">
        <f ca="1"/>
        <v>⚪ À surveiller</v>
      </c>
      <c r="F66" s="20" t="str">
        <f ca="1"/>
        <v>Vérifier le déclencheur</v>
      </c>
    </row>
    <row r="67" spans="1:6" ht="36" customHeight="1">
      <c r="A67" s="8" t="str">
        <f ca="1"/>
        <v>مشروع حمایة المنطقة الغربیة من ایت ملول من مخاطر فیضانات واد سوس ایت ملول عمالة انزكان ایت ملول، المقدم في إطار طلب المشاریع لسنة2022، الممولة من طرف "صندوق مكافحة آثار الكوارث الطبیعیة"</v>
      </c>
      <c r="B67" s="11"/>
      <c r="C67" s="50"/>
      <c r="D67" s="14" t="str">
        <f ca="1"/>
        <v>غیر محدد</v>
      </c>
      <c r="E67" s="17" t="str">
        <f ca="1"/>
        <v>⚪ À surveiller</v>
      </c>
      <c r="F67" s="20" t="str">
        <f ca="1"/>
        <v>Vérifier le déclencheur</v>
      </c>
    </row>
    <row r="68" spans="1:6" ht="36" customHeight="1">
      <c r="A68" s="8" t="str">
        <f ca="1"/>
        <v>تكوین و تحسیس الساكنة على السلوك الفردي و الجماعي للحد من التعرض للفیضانات بإقلیم طاطا، المقدم في إطار طلب المشاریع لسنة2023 ، الممولة من طرف "صندوق مكافحة آثار الكوارث الطبیعیة"</v>
      </c>
      <c r="B68" s="11"/>
      <c r="C68" s="50"/>
      <c r="D68" s="14" t="str">
        <f ca="1"/>
        <v>غیر محدد</v>
      </c>
      <c r="E68" s="17" t="str">
        <f ca="1"/>
        <v>⚪ À surveiller</v>
      </c>
      <c r="F68" s="20" t="str">
        <f ca="1"/>
        <v>Vérifier le déclencheur</v>
      </c>
    </row>
    <row r="69" spans="1:6" ht="36" customHeight="1">
      <c r="A69" s="8" t="str">
        <f ca="1"/>
        <v>اتفاقیة شراكة من أجل تمویل وإنجاز مشروع الحمایة من الحرائق وتھیئة وتأھیل واحات طاطا</v>
      </c>
      <c r="B69" s="11"/>
      <c r="C69" s="50"/>
      <c r="D69" s="14" t="str">
        <f ca="1"/>
        <v>غیر محدد</v>
      </c>
      <c r="E69" s="17" t="str">
        <f ca="1"/>
        <v>⚪ À surveiller</v>
      </c>
      <c r="F69" s="20" t="str">
        <f ca="1"/>
        <v>Vérifier le déclencheur</v>
      </c>
    </row>
    <row r="70" spans="1:6" ht="36" customHeight="1">
      <c r="A70" s="8" t="str">
        <f ca="1"/>
        <v>اتفاقیة متعلقة بإنجاز مشروع أشغال الحمایة من الفیضانات بجماعة احمر لكاللشة في إطار طلب المشاریع 2024</v>
      </c>
      <c r="B70" s="11"/>
      <c r="C70" s="50"/>
      <c r="D70" s="14" t="str">
        <f ca="1"/>
        <v>غیر محدد</v>
      </c>
      <c r="E70" s="17" t="str">
        <f ca="1"/>
        <v>⚪ À surveiller</v>
      </c>
      <c r="F70" s="20" t="str">
        <f ca="1"/>
        <v>Vérifier le déclencheur</v>
      </c>
    </row>
    <row r="71" spans="1:6" ht="36" customHeight="1">
      <c r="A71" s="8" t="str">
        <f ca="1"/>
        <v>اتفاقیة متعلقة بإنجاز مشروع أشغال الوقایة من الفیضانات بجماعة أفال إغیر في إطار طلب المشاریع 2024</v>
      </c>
      <c r="B71" s="11"/>
      <c r="C71" s="50"/>
      <c r="D71" s="14" t="str">
        <f ca="1"/>
        <v>غیر محدد</v>
      </c>
      <c r="E71" s="17" t="str">
        <f ca="1"/>
        <v>⚪ À surveiller</v>
      </c>
      <c r="F71" s="20" t="str">
        <f ca="1"/>
        <v>Vérifier le déclencheur</v>
      </c>
    </row>
    <row r="72" spans="1:6" ht="36" customHeight="1">
      <c r="A72" s="8" t="str">
        <f ca="1"/>
        <v>اتفاقیة متعلقة بإنجاز مشروع حمایة مركز أیت وافقا من الفیضانات بجماعة أیت وافقا في إطار طلب المشاریع2024</v>
      </c>
      <c r="B72" s="11"/>
      <c r="C72" s="50"/>
      <c r="D72" s="14" t="str">
        <f ca="1"/>
        <v>غیر محدد</v>
      </c>
      <c r="E72" s="17" t="str">
        <f ca="1"/>
        <v>⚪ À surveiller</v>
      </c>
      <c r="F72" s="20" t="str">
        <f ca="1"/>
        <v>Vérifier le déclencheur</v>
      </c>
    </row>
    <row r="73" spans="1:6" ht="36" customHeight="1">
      <c r="A73" s="8" t="str">
        <f ca="1"/>
        <v>اتفاقیة متعلقة بإنجاز مشروع الحمایة من خطر الفیضانات لكامل جماعة تركانتوشكا في إطار طلب المشاریع 2024</v>
      </c>
      <c r="B73" s="11"/>
      <c r="C73" s="50"/>
      <c r="D73" s="14" t="str">
        <f ca="1"/>
        <v>غیر محدد</v>
      </c>
      <c r="E73" s="17" t="str">
        <f ca="1"/>
        <v>⚪ À surveiller</v>
      </c>
      <c r="F73" s="20" t="str">
        <f ca="1"/>
        <v>Vérifier le déclencheur</v>
      </c>
    </row>
    <row r="74" spans="1:6" ht="36" customHeight="1">
      <c r="A74" s="8" t="str">
        <f ca="1"/>
        <v>اتفاقیة متعلقة بإنجاز مشروع الحمایة من الفیضانات بجماعة تكزمرت في إطار طلب المشاریع 2024</v>
      </c>
      <c r="B74" s="11"/>
      <c r="C74" s="50"/>
      <c r="D74" s="14" t="str">
        <f ca="1"/>
        <v>غیر محدد</v>
      </c>
      <c r="E74" s="17" t="str">
        <f ca="1"/>
        <v>⚪ À surveiller</v>
      </c>
      <c r="F74" s="20" t="str">
        <f ca="1"/>
        <v>Vérifier le déclencheur</v>
      </c>
    </row>
    <row r="75" spans="1:6" ht="36" customHeight="1">
      <c r="A75" s="8" t="str">
        <f ca="1"/>
        <v>اتفاقیة متعلقة بإنجاز مشروع الحمایة من الفیضانات بدواویر جماعةأیت وابلي في إطار طلب المشاریع 2024</v>
      </c>
      <c r="B75" s="11"/>
      <c r="C75" s="50"/>
      <c r="D75" s="14" t="str">
        <f ca="1"/>
        <v>غیر محدد</v>
      </c>
      <c r="E75" s="17" t="str">
        <f ca="1"/>
        <v>⚪ À surveiller</v>
      </c>
      <c r="F75" s="20" t="str">
        <f ca="1"/>
        <v>Vérifier le déclencheur</v>
      </c>
    </row>
    <row r="76" spans="1:6" ht="36" customHeight="1">
      <c r="A76" s="8" t="str">
        <f ca="1"/>
        <v>اتفاقیة متعلقة بإنجاز مشروع الوقایة من الفیضانات من الفیضانات في جماعة طاطا بإقلیم طاطا المقدم في إطار طلب المشاریع لسنة 2024، الممول من طرف "صندوق مكافحة آثار الكوارث الطبیعیة</v>
      </c>
      <c r="B76" s="11"/>
      <c r="C76" s="50"/>
      <c r="D76" s="14" t="str">
        <f ca="1"/>
        <v>غیر محدد</v>
      </c>
      <c r="E76" s="17" t="str">
        <f ca="1"/>
        <v>⚪ À surveiller</v>
      </c>
      <c r="F76" s="20" t="str">
        <f ca="1"/>
        <v>Vérifier le déclencheur</v>
      </c>
    </row>
    <row r="77" spans="1:6" ht="36" customHeight="1">
      <c r="A77" s="8" t="str">
        <f ca="1"/>
        <v>اتفاقیة شراكة من أجل إنجاز مشروع أشغال الوقایة من الفیضانات بدواویر جماعة أدیس إقلیم طاطا )الشطر األول أدیس، تكریح وتكلست(، المقدم في إطار طلب المشاریع لسنة 2024، الممول من طرف "صندوق مكافحة آثار الكوارث الطبیعیة"</v>
      </c>
      <c r="B77" s="11"/>
      <c r="C77" s="50"/>
      <c r="D77" s="14" t="str">
        <f ca="1"/>
        <v>غیر محدد</v>
      </c>
      <c r="E77" s="17" t="str">
        <f ca="1"/>
        <v>⚪ À surveiller</v>
      </c>
      <c r="F77" s="20" t="str">
        <f ca="1"/>
        <v>Vérifier le déclencheur</v>
      </c>
    </row>
    <row r="78" spans="1:6" ht="36" customHeight="1">
      <c r="A78" s="8"/>
      <c r="B78" s="11"/>
      <c r="C78" s="50"/>
      <c r="D78" s="14"/>
      <c r="E78" s="17"/>
      <c r="F78" s="20"/>
    </row>
    <row r="79" spans="1:6" ht="36" customHeight="1">
      <c r="A79" s="8"/>
      <c r="B79" s="11"/>
      <c r="C79" s="50"/>
      <c r="D79" s="14"/>
      <c r="E79" s="17"/>
      <c r="F79" s="20"/>
    </row>
    <row r="80" spans="1:6" ht="36" customHeight="1">
      <c r="A80" s="8"/>
      <c r="B80" s="11"/>
      <c r="C80" s="50"/>
      <c r="D80" s="14"/>
      <c r="E80" s="17"/>
      <c r="F80" s="20"/>
    </row>
    <row r="81" spans="1:6" ht="36" customHeight="1">
      <c r="A81" s="8"/>
      <c r="B81" s="11"/>
      <c r="C81" s="50"/>
      <c r="D81" s="14"/>
      <c r="E81" s="17"/>
      <c r="F81" s="20"/>
    </row>
    <row r="82" spans="1:6" ht="36" customHeight="1">
      <c r="A82" s="8"/>
      <c r="B82" s="11"/>
      <c r="C82" s="50"/>
      <c r="D82" s="14"/>
      <c r="E82" s="17"/>
      <c r="F82" s="20"/>
    </row>
    <row r="83" spans="1:6" ht="36" customHeight="1">
      <c r="A83" s="8"/>
      <c r="B83" s="11"/>
      <c r="C83" s="50"/>
      <c r="D83" s="14"/>
      <c r="E83" s="17"/>
      <c r="F83" s="20"/>
    </row>
    <row r="84" spans="1:6" ht="36" customHeight="1">
      <c r="A84" s="8"/>
      <c r="B84" s="11"/>
      <c r="C84" s="50"/>
      <c r="D84" s="14"/>
      <c r="E84" s="17"/>
      <c r="F84" s="20"/>
    </row>
    <row r="85" spans="1:6" ht="36" customHeight="1">
      <c r="A85" s="8"/>
      <c r="B85" s="11"/>
      <c r="C85" s="50"/>
      <c r="D85" s="14"/>
      <c r="E85" s="17"/>
      <c r="F85" s="20"/>
    </row>
    <row r="86" spans="1:6" ht="36" customHeight="1">
      <c r="A86" s="8"/>
      <c r="B86" s="11"/>
      <c r="C86" s="50"/>
      <c r="D86" s="14"/>
      <c r="E86" s="17"/>
      <c r="F86" s="20"/>
    </row>
    <row r="87" spans="1:6" ht="36" customHeight="1">
      <c r="A87" s="8"/>
      <c r="B87" s="11"/>
      <c r="C87" s="50"/>
      <c r="D87" s="14"/>
      <c r="E87" s="17"/>
      <c r="F87" s="20"/>
    </row>
    <row r="88" spans="1:6" ht="36" customHeight="1">
      <c r="A88" s="8"/>
      <c r="B88" s="11"/>
      <c r="C88" s="50"/>
      <c r="D88" s="14"/>
      <c r="E88" s="17"/>
      <c r="F88" s="20"/>
    </row>
    <row r="89" spans="1:6" ht="36" customHeight="1">
      <c r="A89" s="8"/>
      <c r="B89" s="11"/>
      <c r="C89" s="50"/>
      <c r="D89" s="14"/>
      <c r="E89" s="17"/>
      <c r="F89" s="20"/>
    </row>
    <row r="90" spans="1:6" ht="36" customHeight="1">
      <c r="A90" s="8"/>
      <c r="B90" s="11"/>
      <c r="C90" s="50"/>
      <c r="D90" s="14"/>
      <c r="E90" s="17"/>
      <c r="F90" s="20"/>
    </row>
    <row r="91" spans="1:6" ht="36" customHeight="1">
      <c r="A91" s="8"/>
      <c r="B91" s="11"/>
      <c r="C91" s="50"/>
      <c r="D91" s="14"/>
      <c r="E91" s="17"/>
      <c r="F91" s="20"/>
    </row>
    <row r="92" spans="1:6" ht="36" customHeight="1">
      <c r="A92" s="8"/>
      <c r="B92" s="11"/>
      <c r="C92" s="50"/>
      <c r="D92" s="14"/>
      <c r="E92" s="17"/>
      <c r="F92" s="20"/>
    </row>
    <row r="93" spans="1:6" ht="36" customHeight="1">
      <c r="A93" s="8"/>
      <c r="B93" s="11"/>
      <c r="C93" s="50"/>
      <c r="D93" s="14"/>
      <c r="E93" s="17"/>
      <c r="F93" s="20"/>
    </row>
    <row r="94" spans="1:6" ht="36" customHeight="1">
      <c r="A94" s="8"/>
      <c r="B94" s="11"/>
      <c r="C94" s="50"/>
      <c r="D94" s="14"/>
      <c r="E94" s="17"/>
      <c r="F94" s="20"/>
    </row>
    <row r="95" spans="1:6" ht="36" customHeight="1">
      <c r="A95" s="8"/>
      <c r="B95" s="11"/>
      <c r="C95" s="50"/>
      <c r="D95" s="14"/>
      <c r="E95" s="17"/>
      <c r="F95" s="20"/>
    </row>
    <row r="96" spans="1:6" ht="36" customHeight="1">
      <c r="A96" s="8"/>
      <c r="B96" s="11"/>
      <c r="C96" s="50"/>
      <c r="D96" s="14"/>
      <c r="E96" s="17"/>
      <c r="F96" s="20"/>
    </row>
    <row r="97" spans="1:6" ht="36" customHeight="1">
      <c r="A97" s="8"/>
      <c r="B97" s="11"/>
      <c r="C97" s="50"/>
      <c r="D97" s="14"/>
      <c r="E97" s="17"/>
      <c r="F97" s="20"/>
    </row>
    <row r="98" spans="1:6" ht="36" customHeight="1">
      <c r="A98" s="8"/>
      <c r="B98" s="11"/>
      <c r="C98" s="50"/>
      <c r="D98" s="14"/>
      <c r="E98" s="17"/>
      <c r="F98" s="20"/>
    </row>
    <row r="99" spans="1:6" ht="36" customHeight="1">
      <c r="A99" s="8"/>
      <c r="B99" s="11"/>
      <c r="C99" s="50"/>
      <c r="D99" s="14"/>
      <c r="E99" s="17"/>
      <c r="F99" s="20"/>
    </row>
    <row r="100" spans="1:6" ht="36" customHeight="1">
      <c r="A100" s="8"/>
      <c r="B100" s="11"/>
      <c r="C100" s="50"/>
      <c r="D100" s="14"/>
      <c r="E100" s="17"/>
      <c r="F100" s="20"/>
    </row>
    <row r="101" spans="1:6" ht="36" customHeight="1">
      <c r="A101" s="8"/>
      <c r="B101" s="11"/>
      <c r="C101" s="50"/>
      <c r="D101" s="14"/>
      <c r="E101" s="17"/>
      <c r="F101" s="20"/>
    </row>
    <row r="102" spans="1:6" ht="36" customHeight="1">
      <c r="A102" s="8"/>
      <c r="B102" s="11"/>
      <c r="C102" s="50"/>
      <c r="D102" s="14"/>
      <c r="E102" s="17"/>
      <c r="F102" s="20"/>
    </row>
    <row r="103" spans="1:6" ht="36" customHeight="1">
      <c r="A103" s="8"/>
      <c r="B103" s="11"/>
      <c r="C103" s="50"/>
      <c r="D103" s="14"/>
      <c r="E103" s="17"/>
      <c r="F103" s="20"/>
    </row>
    <row r="104" spans="1:6" ht="36" customHeight="1">
      <c r="A104" s="8"/>
      <c r="B104" s="11"/>
      <c r="C104" s="50"/>
      <c r="D104" s="14"/>
      <c r="E104" s="17"/>
      <c r="F104" s="20"/>
    </row>
    <row r="105" spans="1:6" ht="36" customHeight="1">
      <c r="A105" s="8"/>
      <c r="B105" s="11"/>
      <c r="C105" s="50"/>
      <c r="D105" s="14"/>
      <c r="E105" s="17"/>
      <c r="F105" s="20"/>
    </row>
    <row r="106" spans="1:6" ht="36" customHeight="1">
      <c r="A106" s="8"/>
      <c r="B106" s="11"/>
      <c r="C106" s="50"/>
      <c r="D106" s="14"/>
      <c r="E106" s="17"/>
      <c r="F106" s="20"/>
    </row>
    <row r="107" spans="1:6" ht="36" customHeight="1">
      <c r="A107" s="8"/>
      <c r="B107" s="11"/>
      <c r="C107" s="50"/>
      <c r="D107" s="14"/>
      <c r="E107" s="17"/>
      <c r="F107" s="20"/>
    </row>
    <row r="108" spans="1:6" ht="36" customHeight="1">
      <c r="A108" s="8"/>
      <c r="B108" s="11"/>
      <c r="C108" s="50"/>
      <c r="D108" s="14"/>
      <c r="E108" s="17"/>
      <c r="F108" s="20"/>
    </row>
    <row r="109" spans="1:6" ht="36" customHeight="1">
      <c r="A109" s="8"/>
      <c r="B109" s="11"/>
      <c r="C109" s="50"/>
      <c r="D109" s="14"/>
      <c r="E109" s="17"/>
      <c r="F109" s="20"/>
    </row>
    <row r="110" spans="1:6" ht="36" customHeight="1">
      <c r="A110" s="8"/>
      <c r="B110" s="11"/>
      <c r="C110" s="50"/>
      <c r="D110" s="14"/>
      <c r="E110" s="17"/>
      <c r="F110" s="20"/>
    </row>
    <row r="111" spans="1:6" ht="36" customHeight="1">
      <c r="A111" s="8"/>
      <c r="B111" s="11"/>
      <c r="C111" s="50"/>
      <c r="D111" s="14"/>
      <c r="E111" s="17"/>
      <c r="F111" s="20"/>
    </row>
    <row r="112" spans="1:6" ht="36" customHeight="1">
      <c r="A112" s="8"/>
      <c r="B112" s="11"/>
      <c r="C112" s="50"/>
      <c r="D112" s="14"/>
      <c r="E112" s="17"/>
      <c r="F112" s="20"/>
    </row>
    <row r="113" spans="1:6" ht="36" customHeight="1">
      <c r="A113" s="8"/>
      <c r="B113" s="11"/>
      <c r="C113" s="50"/>
      <c r="D113" s="14"/>
      <c r="E113" s="17"/>
      <c r="F113" s="20"/>
    </row>
    <row r="114" spans="1:6" ht="36" customHeight="1">
      <c r="A114" s="8"/>
      <c r="B114" s="11"/>
      <c r="C114" s="50"/>
      <c r="D114" s="14"/>
      <c r="E114" s="17"/>
      <c r="F114" s="20"/>
    </row>
    <row r="115" spans="1:6" ht="36" customHeight="1">
      <c r="A115" s="8"/>
      <c r="B115" s="11"/>
      <c r="C115" s="50"/>
      <c r="D115" s="14"/>
      <c r="E115" s="17"/>
      <c r="F115" s="20"/>
    </row>
    <row r="116" spans="1:6" ht="36" customHeight="1">
      <c r="A116" s="8"/>
      <c r="B116" s="11"/>
      <c r="C116" s="50"/>
      <c r="D116" s="14"/>
      <c r="E116" s="17"/>
      <c r="F116" s="20"/>
    </row>
    <row r="117" spans="1:6" ht="36" customHeight="1">
      <c r="A117" s="8"/>
      <c r="B117" s="11"/>
      <c r="C117" s="50"/>
      <c r="D117" s="14"/>
      <c r="E117" s="17"/>
      <c r="F117" s="20"/>
    </row>
    <row r="118" spans="1:6" ht="36" customHeight="1">
      <c r="A118" s="8"/>
      <c r="B118" s="11"/>
      <c r="C118" s="50"/>
      <c r="D118" s="14"/>
      <c r="E118" s="17"/>
      <c r="F118" s="20"/>
    </row>
    <row r="119" spans="1:6" ht="36" customHeight="1">
      <c r="A119" s="8"/>
      <c r="B119" s="11"/>
      <c r="C119" s="50"/>
      <c r="D119" s="14"/>
      <c r="E119" s="17"/>
      <c r="F119" s="20"/>
    </row>
    <row r="120" spans="1:6" ht="36" customHeight="1">
      <c r="A120" s="8"/>
      <c r="B120" s="11"/>
      <c r="C120" s="50"/>
      <c r="D120" s="14"/>
      <c r="E120" s="17"/>
      <c r="F120" s="20"/>
    </row>
    <row r="121" spans="1:6" ht="36" customHeight="1">
      <c r="A121" s="8"/>
      <c r="B121" s="11"/>
      <c r="C121" s="50"/>
      <c r="D121" s="14"/>
      <c r="E121" s="17"/>
      <c r="F121" s="20"/>
    </row>
    <row r="122" spans="1:6" ht="36" customHeight="1">
      <c r="A122" s="8"/>
      <c r="B122" s="11"/>
      <c r="C122" s="50"/>
      <c r="D122" s="14"/>
      <c r="E122" s="17"/>
      <c r="F122" s="20"/>
    </row>
    <row r="123" spans="1:6" ht="36" customHeight="1">
      <c r="A123" s="8"/>
      <c r="B123" s="11"/>
      <c r="C123" s="50"/>
      <c r="D123" s="14"/>
      <c r="E123" s="17"/>
      <c r="F123" s="20"/>
    </row>
    <row r="124" spans="1:6" ht="36" customHeight="1">
      <c r="A124" s="8"/>
      <c r="B124" s="11"/>
      <c r="C124" s="50"/>
      <c r="D124" s="14"/>
      <c r="E124" s="17"/>
      <c r="F124" s="20"/>
    </row>
    <row r="125" spans="1:6" ht="36" customHeight="1">
      <c r="A125" s="8"/>
      <c r="B125" s="11"/>
      <c r="C125" s="50"/>
      <c r="D125" s="14"/>
      <c r="E125" s="17"/>
      <c r="F125" s="20"/>
    </row>
    <row r="126" spans="1:6" ht="36" customHeight="1">
      <c r="A126" s="8"/>
      <c r="B126" s="11"/>
      <c r="C126" s="50"/>
      <c r="D126" s="14"/>
      <c r="E126" s="17"/>
      <c r="F126" s="20"/>
    </row>
    <row r="127" spans="1:6" ht="36" customHeight="1">
      <c r="A127" s="9"/>
      <c r="B127" s="12"/>
      <c r="C127" s="51"/>
      <c r="D127" s="15"/>
      <c r="E127" s="18"/>
      <c r="F127" s="21"/>
    </row>
    <row r="128" spans="1:6">
      <c r="A128" s="1"/>
      <c r="B128" s="1"/>
      <c r="C128" s="1"/>
      <c r="D128" s="2"/>
      <c r="E128" s="1"/>
      <c r="F128" s="1"/>
    </row>
    <row r="129" spans="1:6">
      <c r="A129" s="1"/>
      <c r="B129" s="1"/>
      <c r="C129" s="1"/>
      <c r="D129" s="2"/>
      <c r="E129" s="1"/>
      <c r="F129" s="1"/>
    </row>
    <row r="130" spans="1:6">
      <c r="A130" s="1"/>
      <c r="B130" s="1"/>
      <c r="C130" s="1"/>
      <c r="D130" s="2"/>
      <c r="E130" s="1"/>
      <c r="F130" s="1"/>
    </row>
    <row r="131" spans="1:6">
      <c r="A131" s="1"/>
      <c r="B131" s="1"/>
      <c r="C131" s="1"/>
      <c r="D131" s="2"/>
      <c r="E131" s="1"/>
      <c r="F131" s="1"/>
    </row>
    <row r="132" spans="1:6">
      <c r="A132" s="1"/>
      <c r="B132" s="1"/>
      <c r="C132" s="1"/>
      <c r="D132" s="2"/>
      <c r="E132" s="1"/>
      <c r="F132" s="1"/>
    </row>
    <row r="133" spans="1:6">
      <c r="A133" s="1"/>
      <c r="B133" s="1"/>
      <c r="C133" s="1"/>
      <c r="D133" s="2"/>
      <c r="E133" s="1"/>
      <c r="F133" s="1"/>
    </row>
    <row r="134" spans="1:6">
      <c r="A134" s="1"/>
      <c r="B134" s="1"/>
      <c r="C134" s="1"/>
      <c r="D134" s="2"/>
      <c r="E134" s="1"/>
      <c r="F134" s="1"/>
    </row>
    <row r="135" spans="1:6">
      <c r="A135" s="1"/>
      <c r="B135" s="1"/>
      <c r="C135" s="1"/>
      <c r="D135" s="2"/>
      <c r="E135" s="1"/>
      <c r="F135" s="1"/>
    </row>
    <row r="136" spans="1:6">
      <c r="A136" s="1"/>
      <c r="B136" s="1"/>
      <c r="C136" s="1"/>
      <c r="D136" s="2"/>
      <c r="E136" s="1"/>
      <c r="F136" s="1"/>
    </row>
    <row r="137" spans="1:6">
      <c r="A137" s="1"/>
      <c r="B137" s="1"/>
      <c r="C137" s="1"/>
      <c r="D137" s="2"/>
      <c r="E137" s="1"/>
      <c r="F137" s="1"/>
    </row>
    <row r="138" spans="1:6">
      <c r="A138" s="1"/>
      <c r="B138" s="1"/>
      <c r="C138" s="1"/>
      <c r="D138" s="2"/>
      <c r="E138" s="1"/>
      <c r="F138" s="1"/>
    </row>
    <row r="139" spans="1:6">
      <c r="A139" s="1"/>
      <c r="B139" s="1"/>
      <c r="C139" s="1"/>
      <c r="D139" s="2"/>
      <c r="E139" s="1"/>
      <c r="F139" s="1"/>
    </row>
    <row r="140" spans="1:6">
      <c r="A140" s="1"/>
      <c r="B140" s="1"/>
      <c r="C140" s="1"/>
      <c r="D140" s="2"/>
      <c r="E140" s="1"/>
      <c r="F140" s="1"/>
    </row>
    <row r="141" spans="1:6">
      <c r="A141" s="1"/>
      <c r="B141" s="1"/>
      <c r="C141" s="1"/>
      <c r="D141" s="2"/>
      <c r="E141" s="1"/>
      <c r="F141" s="1"/>
    </row>
    <row r="142" spans="1:6">
      <c r="A142" s="1"/>
      <c r="B142" s="1"/>
      <c r="C142" s="1"/>
      <c r="D142" s="2"/>
      <c r="E142" s="1"/>
      <c r="F142" s="1"/>
    </row>
    <row r="143" spans="1:6">
      <c r="A143" s="1"/>
      <c r="B143" s="1"/>
      <c r="C143" s="1"/>
      <c r="D143" s="2"/>
      <c r="E143" s="1"/>
      <c r="F143" s="1"/>
    </row>
    <row r="144" spans="1:6">
      <c r="A144" s="1"/>
      <c r="B144" s="1"/>
      <c r="C144" s="1"/>
      <c r="D144" s="2"/>
      <c r="E144" s="1"/>
      <c r="F144" s="1"/>
    </row>
    <row r="145" spans="1:6">
      <c r="A145" s="1"/>
      <c r="B145" s="1"/>
      <c r="C145" s="1"/>
      <c r="D145" s="2"/>
      <c r="E145" s="1"/>
      <c r="F145" s="1"/>
    </row>
    <row r="146" spans="1:6">
      <c r="A146" s="1"/>
      <c r="B146" s="1"/>
      <c r="C146" s="1"/>
      <c r="D146" s="2"/>
      <c r="E146" s="1"/>
      <c r="F146" s="1"/>
    </row>
    <row r="147" spans="1:6">
      <c r="A147" s="1"/>
      <c r="B147" s="1"/>
      <c r="C147" s="1"/>
      <c r="D147" s="2"/>
      <c r="E147" s="1"/>
      <c r="F147" s="1"/>
    </row>
    <row r="148" spans="1:6">
      <c r="A148" s="1"/>
      <c r="B148" s="1"/>
      <c r="C148" s="1"/>
      <c r="D148" s="2"/>
      <c r="E148" s="1"/>
      <c r="F148" s="1"/>
    </row>
    <row r="149" spans="1:6">
      <c r="A149" s="1"/>
      <c r="B149" s="1"/>
      <c r="C149" s="1"/>
      <c r="D149" s="2"/>
      <c r="E149" s="1"/>
      <c r="F149" s="1"/>
    </row>
    <row r="150" spans="1:6">
      <c r="A150" s="1"/>
      <c r="B150" s="1"/>
      <c r="C150" s="1"/>
      <c r="D150" s="2"/>
      <c r="E150" s="1"/>
      <c r="F150" s="1"/>
    </row>
    <row r="151" spans="1:6">
      <c r="A151" s="1"/>
      <c r="B151" s="1"/>
      <c r="C151" s="1"/>
      <c r="D151" s="2"/>
      <c r="E151" s="1"/>
      <c r="F151" s="1"/>
    </row>
    <row r="152" spans="1:6">
      <c r="A152" s="1"/>
      <c r="B152" s="1"/>
      <c r="C152" s="1"/>
      <c r="D152" s="2"/>
      <c r="E152" s="1"/>
      <c r="F152" s="1"/>
    </row>
    <row r="153" spans="1:6">
      <c r="A153" s="1"/>
      <c r="B153" s="1"/>
      <c r="C153" s="1"/>
      <c r="D153" s="2"/>
      <c r="E153" s="1"/>
      <c r="F153" s="1"/>
    </row>
    <row r="154" spans="1:6">
      <c r="A154" s="1"/>
      <c r="B154" s="1"/>
      <c r="C154" s="1"/>
      <c r="D154" s="2"/>
      <c r="E154" s="1"/>
      <c r="F154" s="1"/>
    </row>
    <row r="155" spans="1:6">
      <c r="A155" s="1"/>
      <c r="B155" s="1"/>
      <c r="C155" s="1"/>
      <c r="D155" s="2"/>
      <c r="E155" s="1"/>
      <c r="F155" s="1"/>
    </row>
    <row r="156" spans="1:6">
      <c r="A156" s="1"/>
      <c r="B156" s="1"/>
      <c r="C156" s="1"/>
      <c r="D156" s="2"/>
      <c r="E156" s="1"/>
      <c r="F156" s="1"/>
    </row>
    <row r="157" spans="1:6">
      <c r="A157" s="1"/>
      <c r="B157" s="1"/>
      <c r="C157" s="1"/>
      <c r="D157" s="2"/>
      <c r="E157" s="1"/>
      <c r="F157" s="1"/>
    </row>
    <row r="158" spans="1:6">
      <c r="A158" s="1"/>
      <c r="B158" s="1"/>
      <c r="C158" s="1"/>
      <c r="D158" s="2"/>
      <c r="E158" s="1"/>
      <c r="F158" s="1"/>
    </row>
    <row r="159" spans="1:6">
      <c r="A159" s="1"/>
      <c r="B159" s="1"/>
      <c r="C159" s="1"/>
      <c r="D159" s="2"/>
      <c r="E159" s="1"/>
      <c r="F159" s="1"/>
    </row>
    <row r="160" spans="1:6">
      <c r="A160" s="1"/>
      <c r="B160" s="1"/>
      <c r="C160" s="1"/>
      <c r="D160" s="2"/>
      <c r="E160" s="1"/>
      <c r="F160" s="1"/>
    </row>
    <row r="161" spans="1:6">
      <c r="A161" s="1"/>
      <c r="B161" s="1"/>
      <c r="C161" s="1"/>
      <c r="D161" s="2"/>
      <c r="E161" s="1"/>
      <c r="F161" s="1"/>
    </row>
    <row r="162" spans="1:6">
      <c r="A162" s="1"/>
      <c r="B162" s="1"/>
      <c r="C162" s="1"/>
      <c r="D162" s="2"/>
      <c r="E162" s="1"/>
      <c r="F162" s="1"/>
    </row>
    <row r="163" spans="1:6">
      <c r="A163" s="1"/>
      <c r="B163" s="1"/>
      <c r="C163" s="1"/>
      <c r="D163" s="2"/>
      <c r="E163" s="1"/>
      <c r="F163" s="1"/>
    </row>
    <row r="164" spans="1:6">
      <c r="A164" s="1"/>
      <c r="B164" s="1"/>
      <c r="C164" s="1"/>
      <c r="D164" s="2"/>
      <c r="E164" s="1"/>
      <c r="F164" s="1"/>
    </row>
    <row r="165" spans="1:6">
      <c r="A165" s="1"/>
      <c r="B165" s="1"/>
      <c r="C165" s="1"/>
      <c r="D165" s="2"/>
      <c r="E165" s="1"/>
      <c r="F165" s="1"/>
    </row>
    <row r="166" spans="1:6">
      <c r="A166" s="1"/>
      <c r="B166" s="1"/>
      <c r="C166" s="1"/>
      <c r="D166" s="2"/>
      <c r="E166" s="1"/>
      <c r="F166" s="1"/>
    </row>
    <row r="167" spans="1:6">
      <c r="A167" s="1"/>
      <c r="B167" s="1"/>
      <c r="C167" s="1"/>
      <c r="D167" s="2"/>
      <c r="E167" s="1"/>
      <c r="F167" s="1"/>
    </row>
    <row r="168" spans="1:6">
      <c r="A168" s="1"/>
      <c r="B168" s="1"/>
      <c r="C168" s="1"/>
      <c r="D168" s="2"/>
      <c r="E168" s="1"/>
      <c r="F168" s="1"/>
    </row>
    <row r="169" spans="1:6">
      <c r="A169" s="1"/>
      <c r="B169" s="1"/>
      <c r="C169" s="1"/>
      <c r="D169" s="2"/>
      <c r="E169" s="1"/>
      <c r="F169" s="1"/>
    </row>
    <row r="170" spans="1:6">
      <c r="A170" s="1"/>
      <c r="B170" s="1"/>
      <c r="C170" s="1"/>
      <c r="D170" s="2"/>
      <c r="E170" s="1"/>
      <c r="F170" s="1"/>
    </row>
    <row r="171" spans="1:6">
      <c r="A171" s="1"/>
      <c r="B171" s="1"/>
      <c r="C171" s="1"/>
      <c r="D171" s="2"/>
      <c r="E171" s="1"/>
      <c r="F171" s="1"/>
    </row>
    <row r="172" spans="1:6">
      <c r="A172" s="1"/>
      <c r="B172" s="1"/>
      <c r="C172" s="1"/>
      <c r="D172" s="2"/>
      <c r="E172" s="1"/>
      <c r="F172" s="1"/>
    </row>
    <row r="173" spans="1:6">
      <c r="A173" s="1"/>
      <c r="B173" s="1"/>
      <c r="C173" s="1"/>
      <c r="D173" s="2"/>
      <c r="E173" s="1"/>
      <c r="F173" s="1"/>
    </row>
    <row r="174" spans="1:6">
      <c r="A174" s="1"/>
      <c r="B174" s="1"/>
      <c r="C174" s="1"/>
      <c r="D174" s="2"/>
      <c r="E174" s="1"/>
      <c r="F174" s="1"/>
    </row>
    <row r="175" spans="1:6">
      <c r="A175" s="1"/>
      <c r="B175" s="1"/>
      <c r="C175" s="1"/>
      <c r="D175" s="2"/>
      <c r="E175" s="1"/>
      <c r="F175" s="1"/>
    </row>
    <row r="176" spans="1:6">
      <c r="A176" s="1"/>
      <c r="B176" s="1"/>
      <c r="C176" s="1"/>
      <c r="D176" s="2"/>
      <c r="E176" s="1"/>
      <c r="F176" s="1"/>
    </row>
    <row r="177" spans="1:6">
      <c r="A177" s="1"/>
      <c r="B177" s="1"/>
      <c r="C177" s="1"/>
      <c r="D177" s="2"/>
      <c r="E177" s="1"/>
      <c r="F177" s="1"/>
    </row>
    <row r="178" spans="1:6">
      <c r="A178" s="1"/>
      <c r="B178" s="1"/>
      <c r="C178" s="1"/>
      <c r="D178" s="2"/>
      <c r="E178" s="1"/>
      <c r="F178" s="1"/>
    </row>
    <row r="179" spans="1:6">
      <c r="A179" s="1"/>
      <c r="B179" s="1"/>
      <c r="C179" s="1"/>
      <c r="D179" s="2"/>
      <c r="E179" s="1"/>
      <c r="F179" s="1"/>
    </row>
    <row r="180" spans="1:6">
      <c r="A180" s="1"/>
      <c r="B180" s="1"/>
      <c r="C180" s="1"/>
      <c r="D180" s="2"/>
      <c r="E180" s="1"/>
      <c r="F180" s="1"/>
    </row>
    <row r="181" spans="1:6">
      <c r="A181" s="1"/>
      <c r="B181" s="1"/>
      <c r="C181" s="1"/>
      <c r="D181" s="2"/>
      <c r="E181" s="1"/>
      <c r="F181" s="1"/>
    </row>
    <row r="182" spans="1:6">
      <c r="A182" s="1"/>
      <c r="B182" s="1"/>
      <c r="C182" s="1"/>
      <c r="D182" s="2"/>
      <c r="E182" s="1"/>
      <c r="F182" s="1"/>
    </row>
    <row r="183" spans="1:6">
      <c r="A183" s="1"/>
      <c r="B183" s="1"/>
      <c r="C183" s="1"/>
      <c r="D183" s="2"/>
      <c r="E183" s="1"/>
      <c r="F183" s="1"/>
    </row>
    <row r="184" spans="1:6">
      <c r="A184" s="1"/>
      <c r="B184" s="1"/>
      <c r="C184" s="1"/>
      <c r="D184" s="2"/>
      <c r="E184" s="1"/>
      <c r="F184" s="1"/>
    </row>
    <row r="185" spans="1:6">
      <c r="A185" s="1"/>
      <c r="B185" s="1"/>
      <c r="C185" s="1"/>
      <c r="D185" s="2"/>
      <c r="E185" s="1"/>
      <c r="F185" s="1"/>
    </row>
    <row r="186" spans="1:6">
      <c r="A186" s="1"/>
      <c r="B186" s="1"/>
      <c r="C186" s="1"/>
      <c r="D186" s="2"/>
      <c r="E186" s="1"/>
      <c r="F186" s="1"/>
    </row>
    <row r="187" spans="1:6">
      <c r="A187" s="1"/>
      <c r="B187" s="1"/>
      <c r="C187" s="1"/>
      <c r="D187" s="2"/>
      <c r="E187" s="1"/>
      <c r="F187" s="1"/>
    </row>
    <row r="188" spans="1:6">
      <c r="A188" s="1"/>
      <c r="B188" s="1"/>
      <c r="C188" s="1"/>
      <c r="D188" s="2"/>
      <c r="E188" s="1"/>
      <c r="F188" s="1"/>
    </row>
    <row r="189" spans="1:6">
      <c r="A189" s="1"/>
      <c r="B189" s="1"/>
      <c r="C189" s="1"/>
      <c r="D189" s="2"/>
      <c r="E189" s="1"/>
      <c r="F189" s="1"/>
    </row>
    <row r="190" spans="1:6">
      <c r="A190" s="1"/>
      <c r="B190" s="1"/>
      <c r="C190" s="1"/>
      <c r="D190" s="2"/>
      <c r="E190" s="1"/>
      <c r="F190" s="1"/>
    </row>
    <row r="191" spans="1:6">
      <c r="A191" s="1"/>
      <c r="B191" s="1"/>
      <c r="C191" s="1"/>
      <c r="D191" s="2"/>
      <c r="E191" s="1"/>
      <c r="F191" s="1"/>
    </row>
    <row r="192" spans="1:6">
      <c r="A192" s="1"/>
      <c r="B192" s="1"/>
      <c r="C192" s="1"/>
      <c r="D192" s="2"/>
      <c r="E192" s="1"/>
      <c r="F192" s="1"/>
    </row>
    <row r="193" spans="1:6">
      <c r="A193" s="1"/>
      <c r="B193" s="1"/>
      <c r="C193" s="1"/>
      <c r="D193" s="2"/>
      <c r="E193" s="1"/>
      <c r="F193" s="1"/>
    </row>
    <row r="194" spans="1:6">
      <c r="A194" s="1"/>
      <c r="B194" s="1"/>
      <c r="C194" s="1"/>
      <c r="D194" s="2"/>
      <c r="E194" s="1"/>
      <c r="F194" s="1"/>
    </row>
    <row r="195" spans="1:6">
      <c r="A195" s="1"/>
      <c r="B195" s="1"/>
      <c r="C195" s="1"/>
      <c r="D195" s="2"/>
      <c r="E195" s="1"/>
      <c r="F195" s="1"/>
    </row>
    <row r="196" spans="1:6">
      <c r="A196" s="1"/>
      <c r="B196" s="1"/>
      <c r="C196" s="1"/>
      <c r="D196" s="2"/>
      <c r="E196" s="1"/>
      <c r="F196" s="1"/>
    </row>
    <row r="197" spans="1:6">
      <c r="A197" s="1"/>
      <c r="B197" s="1"/>
      <c r="C197" s="1"/>
      <c r="D197" s="2"/>
      <c r="E197" s="1"/>
      <c r="F197" s="1"/>
    </row>
    <row r="198" spans="1:6">
      <c r="A198" s="1"/>
      <c r="B198" s="1"/>
      <c r="C198" s="1"/>
      <c r="D198" s="2"/>
      <c r="E198" s="1"/>
      <c r="F198" s="1"/>
    </row>
    <row r="199" spans="1:6">
      <c r="A199" s="1"/>
      <c r="B199" s="1"/>
      <c r="C199" s="1"/>
      <c r="D199" s="2"/>
      <c r="E199" s="1"/>
      <c r="F199" s="1"/>
    </row>
    <row r="200" spans="1:6">
      <c r="A200" s="1"/>
      <c r="B200" s="1"/>
      <c r="C200" s="1"/>
      <c r="D200" s="2"/>
      <c r="E200" s="1"/>
      <c r="F200" s="1"/>
    </row>
    <row r="201" spans="1:6">
      <c r="A201" s="1"/>
      <c r="B201" s="1"/>
      <c r="C201" s="1"/>
      <c r="D201" s="2"/>
      <c r="E201" s="1"/>
      <c r="F201" s="1"/>
    </row>
    <row r="202" spans="1:6">
      <c r="A202" s="1"/>
      <c r="B202" s="1"/>
      <c r="C202" s="1"/>
      <c r="D202" s="2"/>
      <c r="E202" s="1"/>
      <c r="F202" s="1"/>
    </row>
    <row r="203" spans="1:6">
      <c r="A203" s="1"/>
      <c r="B203" s="1"/>
      <c r="C203" s="1"/>
      <c r="D203" s="2"/>
      <c r="E203" s="1"/>
      <c r="F203" s="1"/>
    </row>
    <row r="204" spans="1:6">
      <c r="A204" s="1"/>
      <c r="B204" s="1"/>
      <c r="C204" s="1"/>
      <c r="D204" s="2"/>
      <c r="E204" s="1"/>
      <c r="F204" s="1"/>
    </row>
    <row r="205" spans="1:6">
      <c r="A205" s="1"/>
      <c r="B205" s="1"/>
      <c r="C205" s="1"/>
      <c r="D205" s="2"/>
      <c r="E205" s="1"/>
      <c r="F205" s="1"/>
    </row>
    <row r="206" spans="1:6">
      <c r="A206" s="1"/>
      <c r="B206" s="1"/>
      <c r="C206" s="1"/>
      <c r="D206" s="2"/>
      <c r="E206" s="1"/>
      <c r="F206" s="1"/>
    </row>
    <row r="207" spans="1:6">
      <c r="A207" s="1"/>
      <c r="B207" s="1"/>
      <c r="C207" s="1"/>
      <c r="D207" s="2"/>
      <c r="E207" s="1"/>
      <c r="F207" s="1"/>
    </row>
    <row r="208" spans="1:6">
      <c r="A208" s="1"/>
      <c r="B208" s="1"/>
      <c r="C208" s="1"/>
      <c r="D208" s="2"/>
      <c r="E208" s="1"/>
      <c r="F208" s="1"/>
    </row>
    <row r="209" spans="1:6">
      <c r="A209" s="1"/>
      <c r="B209" s="1"/>
      <c r="C209" s="1"/>
      <c r="D209" s="2"/>
      <c r="E209" s="1"/>
      <c r="F209" s="1"/>
    </row>
    <row r="210" spans="1:6">
      <c r="A210" s="1"/>
      <c r="B210" s="1"/>
      <c r="C210" s="1"/>
      <c r="D210" s="2"/>
      <c r="E210" s="1"/>
      <c r="F210" s="1"/>
    </row>
    <row r="211" spans="1:6">
      <c r="A211" s="1"/>
      <c r="B211" s="1"/>
      <c r="C211" s="1"/>
      <c r="D211" s="2"/>
      <c r="E211" s="1"/>
      <c r="F211" s="1"/>
    </row>
    <row r="212" spans="1:6">
      <c r="A212" s="1"/>
      <c r="B212" s="1"/>
      <c r="C212" s="1"/>
      <c r="D212" s="2"/>
      <c r="E212" s="1"/>
      <c r="F212" s="1"/>
    </row>
    <row r="213" spans="1:6">
      <c r="A213" s="1"/>
      <c r="B213" s="1"/>
      <c r="C213" s="1"/>
      <c r="D213" s="2"/>
      <c r="E213" s="1"/>
      <c r="F213" s="1"/>
    </row>
    <row r="214" spans="1:6">
      <c r="A214" s="1"/>
      <c r="B214" s="1"/>
      <c r="C214" s="1"/>
      <c r="D214" s="2"/>
      <c r="E214" s="1"/>
      <c r="F214" s="1"/>
    </row>
    <row r="215" spans="1:6">
      <c r="A215" s="1"/>
      <c r="B215" s="1"/>
      <c r="C215" s="1"/>
      <c r="D215" s="2"/>
      <c r="E215" s="1"/>
      <c r="F215" s="1"/>
    </row>
    <row r="216" spans="1:6">
      <c r="A216" s="1"/>
      <c r="B216" s="1"/>
      <c r="C216" s="1"/>
      <c r="D216" s="2"/>
      <c r="E216" s="1"/>
      <c r="F216" s="1"/>
    </row>
    <row r="217" spans="1:6">
      <c r="A217" s="1"/>
      <c r="B217" s="1"/>
      <c r="C217" s="1"/>
      <c r="D217" s="2"/>
      <c r="E217" s="1"/>
      <c r="F217" s="1"/>
    </row>
    <row r="218" spans="1:6">
      <c r="A218" s="1"/>
      <c r="B218" s="1"/>
      <c r="C218" s="1"/>
      <c r="D218" s="2"/>
      <c r="E218" s="1"/>
      <c r="F218" s="1"/>
    </row>
    <row r="219" spans="1:6">
      <c r="A219" s="1"/>
      <c r="B219" s="1"/>
      <c r="C219" s="1"/>
      <c r="D219" s="2"/>
      <c r="E219" s="1"/>
      <c r="F219" s="1"/>
    </row>
    <row r="220" spans="1:6">
      <c r="A220" s="1"/>
      <c r="B220" s="1"/>
      <c r="C220" s="1"/>
      <c r="D220" s="2"/>
      <c r="E220" s="1"/>
      <c r="F220" s="1"/>
    </row>
    <row r="221" spans="1:6">
      <c r="A221" s="1"/>
      <c r="B221" s="1"/>
      <c r="C221" s="1"/>
      <c r="D221" s="2"/>
      <c r="E221" s="1"/>
      <c r="F221" s="1"/>
    </row>
    <row r="222" spans="1:6">
      <c r="A222" s="1"/>
      <c r="B222" s="1"/>
      <c r="C222" s="1"/>
      <c r="D222" s="2"/>
      <c r="E222" s="1"/>
      <c r="F222" s="1"/>
    </row>
    <row r="223" spans="1:6">
      <c r="A223" s="1"/>
      <c r="B223" s="1"/>
      <c r="C223" s="1"/>
      <c r="D223" s="2"/>
      <c r="E223" s="1"/>
      <c r="F223" s="1"/>
    </row>
    <row r="224" spans="1:6">
      <c r="A224" s="1"/>
      <c r="B224" s="1"/>
      <c r="C224" s="1"/>
      <c r="D224" s="2"/>
      <c r="E224" s="1"/>
      <c r="F224" s="1"/>
    </row>
    <row r="225" spans="1:6">
      <c r="A225" s="1"/>
      <c r="B225" s="1"/>
      <c r="C225" s="1"/>
      <c r="D225" s="2"/>
      <c r="E225" s="1"/>
      <c r="F225" s="1"/>
    </row>
    <row r="226" spans="1:6">
      <c r="A226" s="1"/>
      <c r="B226" s="1"/>
      <c r="C226" s="1"/>
      <c r="D226" s="2"/>
      <c r="E226" s="1"/>
      <c r="F226" s="1"/>
    </row>
    <row r="227" spans="1:6">
      <c r="A227" s="1"/>
      <c r="B227" s="1"/>
      <c r="C227" s="1"/>
      <c r="D227" s="2"/>
      <c r="E227" s="1"/>
      <c r="F227" s="1"/>
    </row>
    <row r="228" spans="1:6">
      <c r="A228" s="1"/>
      <c r="B228" s="1"/>
      <c r="C228" s="1"/>
      <c r="D228" s="2"/>
      <c r="E228" s="1"/>
      <c r="F228" s="1"/>
    </row>
    <row r="229" spans="1:6">
      <c r="A229" s="1"/>
      <c r="B229" s="1"/>
      <c r="C229" s="1"/>
      <c r="D229" s="2"/>
      <c r="E229" s="1"/>
      <c r="F229" s="1"/>
    </row>
    <row r="230" spans="1:6">
      <c r="A230" s="1"/>
      <c r="B230" s="1"/>
      <c r="C230" s="1"/>
      <c r="D230" s="2"/>
      <c r="E230" s="1"/>
      <c r="F230" s="1"/>
    </row>
    <row r="231" spans="1:6">
      <c r="A231" s="1"/>
      <c r="B231" s="1"/>
      <c r="C231" s="1"/>
      <c r="D231" s="2"/>
      <c r="E231" s="1"/>
      <c r="F231" s="1"/>
    </row>
    <row r="232" spans="1:6">
      <c r="A232" s="1"/>
      <c r="B232" s="1"/>
      <c r="C232" s="1"/>
      <c r="D232" s="2"/>
      <c r="E232" s="1"/>
      <c r="F232" s="1"/>
    </row>
    <row r="233" spans="1:6">
      <c r="A233" s="1"/>
      <c r="B233" s="1"/>
      <c r="C233" s="1"/>
      <c r="D233" s="2"/>
      <c r="E233" s="1"/>
      <c r="F233" s="1"/>
    </row>
    <row r="234" spans="1:6">
      <c r="A234" s="1"/>
      <c r="B234" s="1"/>
      <c r="C234" s="1"/>
      <c r="D234" s="2"/>
      <c r="E234" s="1"/>
      <c r="F234" s="1"/>
    </row>
    <row r="235" spans="1:6">
      <c r="A235" s="1"/>
      <c r="B235" s="1"/>
      <c r="C235" s="1"/>
      <c r="D235" s="2"/>
      <c r="E235" s="1"/>
      <c r="F235" s="1"/>
    </row>
    <row r="236" spans="1:6">
      <c r="A236" s="1"/>
      <c r="B236" s="1"/>
      <c r="C236" s="1"/>
      <c r="D236" s="2"/>
      <c r="E236" s="1"/>
      <c r="F236" s="1"/>
    </row>
    <row r="237" spans="1:6">
      <c r="A237" s="1"/>
      <c r="B237" s="1"/>
      <c r="C237" s="1"/>
      <c r="D237" s="2"/>
      <c r="E237" s="1"/>
      <c r="F237" s="1"/>
    </row>
    <row r="238" spans="1:6">
      <c r="A238" s="1"/>
      <c r="B238" s="1"/>
      <c r="C238" s="1"/>
      <c r="D238" s="2"/>
      <c r="E238" s="1"/>
      <c r="F238" s="1"/>
    </row>
    <row r="239" spans="1:6">
      <c r="A239" s="1"/>
      <c r="B239" s="1"/>
      <c r="C239" s="1"/>
      <c r="D239" s="2"/>
      <c r="E239" s="1"/>
      <c r="F239" s="1"/>
    </row>
    <row r="240" spans="1:6">
      <c r="A240" s="1"/>
      <c r="B240" s="1"/>
      <c r="C240" s="1"/>
      <c r="D240" s="2"/>
      <c r="E240" s="1"/>
      <c r="F240" s="1"/>
    </row>
    <row r="241" spans="1:6">
      <c r="A241" s="1"/>
      <c r="B241" s="1"/>
      <c r="C241" s="1"/>
      <c r="D241" s="2"/>
      <c r="E241" s="1"/>
      <c r="F241" s="1"/>
    </row>
    <row r="242" spans="1:6">
      <c r="A242" s="1"/>
      <c r="B242" s="1"/>
      <c r="C242" s="1"/>
      <c r="D242" s="2"/>
      <c r="E242" s="1"/>
      <c r="F242" s="1"/>
    </row>
    <row r="243" spans="1:6">
      <c r="A243" s="1"/>
      <c r="B243" s="1"/>
      <c r="C243" s="1"/>
      <c r="D243" s="2"/>
      <c r="E243" s="1"/>
      <c r="F243" s="1"/>
    </row>
    <row r="244" spans="1:6">
      <c r="A244" s="1"/>
      <c r="B244" s="1"/>
      <c r="C244" s="1"/>
      <c r="D244" s="2"/>
      <c r="E244" s="1"/>
      <c r="F244" s="1"/>
    </row>
    <row r="245" spans="1:6">
      <c r="A245" s="1"/>
      <c r="B245" s="1"/>
      <c r="C245" s="1"/>
      <c r="D245" s="2"/>
      <c r="E245" s="1"/>
      <c r="F245" s="1"/>
    </row>
    <row r="246" spans="1:6">
      <c r="A246" s="1"/>
      <c r="B246" s="1"/>
      <c r="C246" s="1"/>
      <c r="D246" s="2"/>
      <c r="E246" s="1"/>
      <c r="F246" s="1"/>
    </row>
    <row r="247" spans="1:6">
      <c r="A247" s="1"/>
      <c r="B247" s="1"/>
      <c r="C247" s="1"/>
      <c r="D247" s="2"/>
      <c r="E247" s="1"/>
      <c r="F247" s="1"/>
    </row>
    <row r="248" spans="1:6">
      <c r="A248" s="1"/>
      <c r="B248" s="1"/>
      <c r="C248" s="1"/>
      <c r="D248" s="2"/>
      <c r="E248" s="1"/>
      <c r="F248" s="1"/>
    </row>
    <row r="249" spans="1:6">
      <c r="A249" s="1"/>
      <c r="B249" s="1"/>
      <c r="C249" s="1"/>
      <c r="D249" s="2"/>
      <c r="E249" s="1"/>
      <c r="F249" s="1"/>
    </row>
    <row r="250" spans="1:6">
      <c r="A250" s="1"/>
      <c r="B250" s="1"/>
      <c r="C250" s="1"/>
      <c r="D250" s="2"/>
      <c r="E250" s="1"/>
      <c r="F250" s="1"/>
    </row>
    <row r="251" spans="1:6">
      <c r="A251" s="1"/>
      <c r="B251" s="1"/>
      <c r="C251" s="1"/>
      <c r="D251" s="2"/>
      <c r="E251" s="1"/>
      <c r="F251" s="1"/>
    </row>
    <row r="252" spans="1:6">
      <c r="A252" s="1"/>
      <c r="B252" s="1"/>
      <c r="C252" s="1"/>
      <c r="D252" s="2"/>
      <c r="E252" s="1"/>
      <c r="F252" s="1"/>
    </row>
    <row r="253" spans="1:6">
      <c r="A253" s="1"/>
      <c r="B253" s="1"/>
      <c r="C253" s="1"/>
      <c r="D253" s="2"/>
      <c r="E253" s="1"/>
      <c r="F253" s="1"/>
    </row>
    <row r="254" spans="1:6">
      <c r="A254" s="1"/>
      <c r="B254" s="1"/>
      <c r="C254" s="1"/>
      <c r="D254" s="2"/>
      <c r="E254" s="1"/>
      <c r="F254" s="1"/>
    </row>
    <row r="255" spans="1:6">
      <c r="A255" s="1"/>
      <c r="B255" s="1"/>
      <c r="C255" s="1"/>
      <c r="D255" s="2"/>
      <c r="E255" s="1"/>
      <c r="F255" s="1"/>
    </row>
    <row r="256" spans="1:6">
      <c r="A256" s="1"/>
      <c r="B256" s="1"/>
      <c r="C256" s="1"/>
      <c r="D256" s="2"/>
      <c r="E256" s="1"/>
      <c r="F256" s="1"/>
    </row>
    <row r="257" spans="1:6">
      <c r="A257" s="1"/>
      <c r="B257" s="1"/>
      <c r="C257" s="1"/>
      <c r="D257" s="2"/>
      <c r="E257" s="1"/>
      <c r="F257" s="1"/>
    </row>
    <row r="258" spans="1:6">
      <c r="A258" s="1"/>
      <c r="B258" s="1"/>
      <c r="C258" s="1"/>
      <c r="D258" s="2"/>
      <c r="E258" s="1"/>
      <c r="F258" s="1"/>
    </row>
    <row r="259" spans="1:6">
      <c r="A259" s="1"/>
      <c r="B259" s="1"/>
      <c r="C259" s="1"/>
      <c r="D259" s="2"/>
      <c r="E259" s="1"/>
      <c r="F259" s="1"/>
    </row>
    <row r="260" spans="1:6">
      <c r="A260" s="1"/>
      <c r="B260" s="1"/>
      <c r="C260" s="1"/>
      <c r="D260" s="2"/>
      <c r="E260" s="1"/>
      <c r="F260" s="1"/>
    </row>
    <row r="261" spans="1:6">
      <c r="A261" s="1"/>
      <c r="B261" s="1"/>
      <c r="C261" s="1"/>
      <c r="D261" s="2"/>
      <c r="E261" s="1"/>
      <c r="F261" s="1"/>
    </row>
    <row r="262" spans="1:6">
      <c r="A262" s="1"/>
      <c r="B262" s="1"/>
      <c r="C262" s="1"/>
      <c r="D262" s="2"/>
      <c r="E262" s="1"/>
      <c r="F262" s="1"/>
    </row>
    <row r="263" spans="1:6">
      <c r="A263" s="1"/>
      <c r="B263" s="1"/>
      <c r="C263" s="1"/>
      <c r="D263" s="2"/>
      <c r="E263" s="1"/>
      <c r="F263" s="1"/>
    </row>
    <row r="264" spans="1:6">
      <c r="A264" s="1"/>
      <c r="B264" s="1"/>
      <c r="C264" s="1"/>
      <c r="D264" s="2"/>
      <c r="E264" s="1"/>
      <c r="F264" s="1"/>
    </row>
    <row r="265" spans="1:6">
      <c r="A265" s="1"/>
      <c r="B265" s="1"/>
      <c r="C265" s="1"/>
      <c r="D265" s="2"/>
      <c r="E265" s="1"/>
      <c r="F265" s="1"/>
    </row>
    <row r="266" spans="1:6">
      <c r="A266" s="1"/>
      <c r="B266" s="1"/>
      <c r="C266" s="1"/>
      <c r="D266" s="2"/>
      <c r="E266" s="1"/>
      <c r="F266" s="1"/>
    </row>
    <row r="267" spans="1:6">
      <c r="A267" s="1"/>
      <c r="B267" s="1"/>
      <c r="C267" s="1"/>
      <c r="D267" s="2"/>
      <c r="E267" s="1"/>
      <c r="F267" s="1"/>
    </row>
    <row r="268" spans="1:6">
      <c r="A268" s="1"/>
      <c r="B268" s="1"/>
      <c r="C268" s="1"/>
      <c r="D268" s="2"/>
      <c r="E268" s="1"/>
      <c r="F268" s="1"/>
    </row>
    <row r="269" spans="1:6">
      <c r="A269" s="1"/>
      <c r="B269" s="1"/>
      <c r="C269" s="1"/>
      <c r="D269" s="2"/>
      <c r="E269" s="1"/>
      <c r="F269" s="1"/>
    </row>
    <row r="270" spans="1:6">
      <c r="A270" s="1"/>
      <c r="B270" s="1"/>
      <c r="C270" s="1"/>
      <c r="D270" s="2"/>
      <c r="E270" s="1"/>
      <c r="F270" s="1"/>
    </row>
    <row r="271" spans="1:6">
      <c r="A271" s="1"/>
      <c r="B271" s="1"/>
      <c r="C271" s="1"/>
      <c r="D271" s="2"/>
      <c r="E271" s="1"/>
      <c r="F271" s="1"/>
    </row>
    <row r="272" spans="1:6">
      <c r="A272" s="1"/>
      <c r="B272" s="1"/>
      <c r="C272" s="1"/>
      <c r="D272" s="2"/>
      <c r="E272" s="1"/>
      <c r="F272" s="1"/>
    </row>
    <row r="273" spans="1:6">
      <c r="A273" s="1"/>
      <c r="B273" s="1"/>
      <c r="C273" s="1"/>
      <c r="D273" s="2"/>
      <c r="E273" s="1"/>
      <c r="F273" s="1"/>
    </row>
    <row r="274" spans="1:6">
      <c r="A274" s="1"/>
      <c r="B274" s="1"/>
      <c r="C274" s="1"/>
      <c r="D274" s="2"/>
      <c r="E274" s="1"/>
      <c r="F274" s="1"/>
    </row>
    <row r="275" spans="1:6">
      <c r="A275" s="1"/>
      <c r="B275" s="1"/>
      <c r="C275" s="1"/>
      <c r="D275" s="2"/>
      <c r="E275" s="1"/>
      <c r="F275" s="1"/>
    </row>
    <row r="276" spans="1:6">
      <c r="A276" s="1"/>
      <c r="B276" s="1"/>
      <c r="C276" s="1"/>
      <c r="D276" s="2"/>
      <c r="E276" s="1"/>
      <c r="F276" s="1"/>
    </row>
    <row r="277" spans="1:6">
      <c r="A277" s="1"/>
      <c r="B277" s="1"/>
      <c r="C277" s="1"/>
      <c r="D277" s="2"/>
      <c r="E277" s="1"/>
      <c r="F277" s="1"/>
    </row>
    <row r="278" spans="1:6">
      <c r="A278" s="1"/>
      <c r="B278" s="1"/>
      <c r="C278" s="1"/>
      <c r="D278" s="2"/>
      <c r="E278" s="1"/>
      <c r="F278" s="1"/>
    </row>
    <row r="279" spans="1:6">
      <c r="A279" s="1"/>
      <c r="B279" s="1"/>
      <c r="C279" s="1"/>
      <c r="D279" s="2"/>
      <c r="E279" s="1"/>
      <c r="F279" s="1"/>
    </row>
    <row r="280" spans="1:6">
      <c r="A280" s="1"/>
      <c r="B280" s="1"/>
      <c r="C280" s="1"/>
      <c r="D280" s="2"/>
      <c r="E280" s="1"/>
      <c r="F280" s="1"/>
    </row>
    <row r="281" spans="1:6">
      <c r="A281" s="1"/>
      <c r="B281" s="1"/>
      <c r="C281" s="1"/>
      <c r="D281" s="2"/>
      <c r="E281" s="1"/>
      <c r="F281" s="1"/>
    </row>
    <row r="282" spans="1:6">
      <c r="A282" s="1"/>
      <c r="B282" s="1"/>
      <c r="C282" s="1"/>
      <c r="D282" s="2"/>
      <c r="E282" s="1"/>
      <c r="F282" s="1"/>
    </row>
    <row r="283" spans="1:6">
      <c r="A283" s="1"/>
      <c r="B283" s="1"/>
      <c r="C283" s="1"/>
      <c r="D283" s="2"/>
      <c r="E283" s="1"/>
      <c r="F283" s="1"/>
    </row>
    <row r="284" spans="1:6">
      <c r="A284" s="1"/>
      <c r="B284" s="1"/>
      <c r="C284" s="1"/>
      <c r="D284" s="2"/>
      <c r="E284" s="1"/>
      <c r="F284" s="1"/>
    </row>
    <row r="285" spans="1:6">
      <c r="A285" s="1"/>
      <c r="B285" s="1"/>
      <c r="C285" s="1"/>
      <c r="D285" s="2"/>
      <c r="E285" s="1"/>
      <c r="F285" s="1"/>
    </row>
    <row r="286" spans="1:6">
      <c r="A286" s="1"/>
      <c r="B286" s="1"/>
      <c r="C286" s="1"/>
      <c r="D286" s="2"/>
      <c r="E286" s="1"/>
      <c r="F286" s="1"/>
    </row>
    <row r="287" spans="1:6">
      <c r="A287" s="1"/>
      <c r="B287" s="1"/>
      <c r="C287" s="1"/>
      <c r="D287" s="2"/>
      <c r="E287" s="1"/>
      <c r="F287" s="1"/>
    </row>
    <row r="288" spans="1:6">
      <c r="A288" s="1"/>
      <c r="B288" s="1"/>
      <c r="C288" s="1"/>
      <c r="D288" s="2"/>
      <c r="E288" s="1"/>
      <c r="F288" s="1"/>
    </row>
    <row r="289" spans="1:6">
      <c r="A289" s="1"/>
      <c r="B289" s="1"/>
      <c r="C289" s="1"/>
      <c r="D289" s="2"/>
      <c r="E289" s="1"/>
      <c r="F289" s="1"/>
    </row>
    <row r="290" spans="1:6">
      <c r="A290" s="1"/>
      <c r="B290" s="1"/>
      <c r="C290" s="1"/>
      <c r="D290" s="2"/>
      <c r="E290" s="1"/>
      <c r="F290" s="1"/>
    </row>
    <row r="291" spans="1:6">
      <c r="A291" s="1"/>
      <c r="B291" s="1"/>
      <c r="C291" s="1"/>
      <c r="D291" s="2"/>
      <c r="E291" s="1"/>
      <c r="F291" s="1"/>
    </row>
    <row r="292" spans="1:6">
      <c r="A292" s="1"/>
      <c r="B292" s="1"/>
      <c r="C292" s="1"/>
      <c r="D292" s="2"/>
      <c r="E292" s="1"/>
      <c r="F292" s="1"/>
    </row>
    <row r="293" spans="1:6">
      <c r="A293" s="1"/>
      <c r="B293" s="1"/>
      <c r="C293" s="1"/>
      <c r="D293" s="2"/>
      <c r="E293" s="1"/>
      <c r="F293" s="1"/>
    </row>
    <row r="294" spans="1:6">
      <c r="A294" s="1"/>
      <c r="B294" s="1"/>
      <c r="C294" s="1"/>
      <c r="D294" s="2"/>
      <c r="E294" s="1"/>
      <c r="F294" s="1"/>
    </row>
    <row r="295" spans="1:6">
      <c r="A295" s="1"/>
      <c r="B295" s="1"/>
      <c r="C295" s="1"/>
      <c r="D295" s="2"/>
      <c r="E295" s="1"/>
      <c r="F295" s="1"/>
    </row>
    <row r="296" spans="1:6">
      <c r="A296" s="1"/>
      <c r="B296" s="1"/>
      <c r="C296" s="1"/>
      <c r="D296" s="2"/>
      <c r="E296" s="1"/>
      <c r="F296" s="1"/>
    </row>
    <row r="297" spans="1:6">
      <c r="A297" s="1"/>
      <c r="B297" s="1"/>
      <c r="C297" s="1"/>
      <c r="D297" s="2"/>
      <c r="E297" s="1"/>
      <c r="F297" s="1"/>
    </row>
    <row r="298" spans="1:6">
      <c r="A298" s="1"/>
      <c r="B298" s="1"/>
      <c r="C298" s="1"/>
      <c r="D298" s="2"/>
      <c r="E298" s="1"/>
      <c r="F298" s="1"/>
    </row>
    <row r="299" spans="1:6">
      <c r="A299" s="1"/>
      <c r="B299" s="1"/>
      <c r="C299" s="1"/>
      <c r="D299" s="2"/>
      <c r="E299" s="1"/>
      <c r="F299" s="1"/>
    </row>
    <row r="300" spans="1:6">
      <c r="A300" s="1"/>
      <c r="B300" s="1"/>
      <c r="C300" s="1"/>
      <c r="D300" s="2"/>
      <c r="E300" s="1"/>
      <c r="F300" s="1"/>
    </row>
  </sheetData>
  <autoFilter ref="A1:F3" xr:uid="{00000000-0001-0000-0000-000000000000}">
    <filterColumn colId="0" showButton="0"/>
    <filterColumn colId="1" showButton="0"/>
    <filterColumn colId="2" showButton="0"/>
    <filterColumn colId="3" showButton="0"/>
    <filterColumn colId="4" showButton="0"/>
  </autoFilter>
  <mergeCells count="3">
    <mergeCell ref="A1:F1"/>
    <mergeCell ref="A2:F2"/>
    <mergeCell ref="A3:F3"/>
  </mergeCells>
  <conditionalFormatting sqref="A5:F127">
    <cfRule type="expression" dxfId="24" priority="4">
      <formula>MOD(ROW(),2)=0</formula>
    </cfRule>
  </conditionalFormatting>
  <conditionalFormatting sqref="E5:E54">
    <cfRule type="expression" dxfId="23" priority="1">
      <formula>LEFT(E5,1)="🔴"</formula>
    </cfRule>
    <cfRule type="expression" dxfId="22" priority="2">
      <formula>LEFT(E5,1)="🟠"</formula>
    </cfRule>
    <cfRule type="expression" dxfId="21" priority="3">
      <formula>LEFT(E5,1)="⚪"</formula>
    </cfRule>
  </conditionalFormatting>
  <conditionalFormatting sqref="E5:E127">
    <cfRule type="expression" dxfId="20" priority="5">
      <formula>$E5="🔴 En retard"</formula>
    </cfRule>
    <cfRule type="expression" dxfId="19" priority="6">
      <formula>$E5="🟠 À déclencher"</formula>
    </cfRule>
    <cfRule type="expression" dxfId="18" priority="7">
      <formula>$E5="🟡 À préparer"</formula>
    </cfRule>
    <cfRule type="expression" dxfId="17" priority="8">
      <formula>$E5="🟢 À jour"</formula>
    </cfRule>
    <cfRule type="expression" dxfId="16" priority="9">
      <formula>OR($E5="⚪ À surveiller",$E5="⚪ À qualifier")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35"/>
  <sheetViews>
    <sheetView tabSelected="1" zoomScale="106" zoomScaleNormal="100" zoomScaleSheetLayoutView="100" workbookViewId="0">
      <selection activeCell="A4" sqref="A4"/>
    </sheetView>
  </sheetViews>
  <sheetFormatPr baseColWidth="10" defaultColWidth="8.69921875" defaultRowHeight="13.8"/>
  <cols>
    <col min="1" max="1" width="8.69921875" style="52"/>
    <col min="2" max="2" width="14.796875" style="52" customWidth="1"/>
    <col min="3" max="3" width="46" style="52" customWidth="1"/>
    <col min="4" max="4" width="20.69921875" style="52" customWidth="1"/>
    <col min="5" max="5" width="22.69921875" style="52" customWidth="1"/>
    <col min="6" max="7" width="20" style="52" customWidth="1"/>
    <col min="8" max="8" width="34" style="52" customWidth="1"/>
    <col min="9" max="11" width="16" style="52" customWidth="1"/>
    <col min="12" max="13" width="16.8984375" style="52" customWidth="1"/>
    <col min="14" max="19" width="20" style="52" customWidth="1"/>
    <col min="20" max="20" width="27" style="52" customWidth="1"/>
    <col min="21" max="21" width="8.69921875" style="52"/>
    <col min="22" max="22" width="17.59765625" style="52" customWidth="1"/>
    <col min="23" max="26" width="16.69921875" style="52" customWidth="1"/>
    <col min="27" max="27" width="17.3984375" style="52" customWidth="1"/>
    <col min="28" max="28" width="23.69921875" style="52" customWidth="1"/>
    <col min="29" max="29" width="23" style="52" customWidth="1"/>
    <col min="30" max="30" width="12.59765625" style="52" customWidth="1"/>
    <col min="31" max="31" width="30.19921875" style="52" customWidth="1"/>
    <col min="32" max="16384" width="8.69921875" style="52"/>
  </cols>
  <sheetData>
    <row r="1" spans="1:31" ht="32.1" customHeight="1">
      <c r="C1" s="64" t="s">
        <v>8</v>
      </c>
      <c r="D1" s="64"/>
      <c r="E1" s="64"/>
      <c r="F1" s="64"/>
      <c r="G1" s="64"/>
      <c r="H1" s="64"/>
      <c r="I1" s="64"/>
      <c r="J1" s="64"/>
      <c r="K1" s="64"/>
      <c r="L1" s="64"/>
      <c r="M1" s="64"/>
      <c r="N1" s="64"/>
      <c r="O1" s="64"/>
      <c r="P1" s="64"/>
      <c r="Q1" s="64"/>
      <c r="R1" s="64"/>
      <c r="S1" s="64"/>
      <c r="T1" s="64"/>
    </row>
    <row r="2" spans="1:31" ht="30" customHeight="1">
      <c r="C2" s="65" t="s">
        <v>9</v>
      </c>
      <c r="D2" s="65"/>
      <c r="E2" s="65"/>
      <c r="F2" s="65"/>
      <c r="G2" s="65"/>
      <c r="H2" s="65"/>
      <c r="I2" s="65"/>
      <c r="J2" s="65"/>
      <c r="K2" s="65"/>
      <c r="L2" s="65"/>
      <c r="M2" s="65"/>
      <c r="N2" s="65"/>
      <c r="O2" s="65"/>
      <c r="P2" s="65"/>
      <c r="Q2" s="65"/>
      <c r="R2" s="65"/>
      <c r="S2" s="65"/>
      <c r="T2" s="65"/>
    </row>
    <row r="3" spans="1:31" ht="22.05" customHeight="1">
      <c r="C3" s="66" t="s">
        <v>348</v>
      </c>
      <c r="D3" s="66"/>
      <c r="E3" s="66"/>
      <c r="F3" s="67"/>
      <c r="G3" s="67"/>
      <c r="H3" s="67"/>
      <c r="I3" s="67"/>
      <c r="J3" s="67"/>
      <c r="K3" s="67"/>
      <c r="L3" s="67"/>
      <c r="M3" s="67"/>
      <c r="N3" s="67"/>
      <c r="O3" s="67"/>
      <c r="P3" s="67"/>
      <c r="Q3" s="67"/>
      <c r="R3" s="67"/>
      <c r="S3" s="67"/>
      <c r="T3" s="67"/>
    </row>
    <row r="4" spans="1:31" ht="36" customHeight="1">
      <c r="A4" s="52" t="s">
        <v>383</v>
      </c>
      <c r="B4" s="52" t="s">
        <v>349</v>
      </c>
      <c r="C4" s="53" t="s">
        <v>364</v>
      </c>
      <c r="D4" s="53" t="s">
        <v>366</v>
      </c>
      <c r="E4" s="53" t="s">
        <v>365</v>
      </c>
      <c r="F4" s="53" t="s">
        <v>350</v>
      </c>
      <c r="G4" s="53" t="s">
        <v>355</v>
      </c>
      <c r="H4" s="53" t="s">
        <v>356</v>
      </c>
      <c r="I4" s="53" t="s">
        <v>351</v>
      </c>
      <c r="J4" s="53" t="s">
        <v>352</v>
      </c>
      <c r="K4" s="53" t="s">
        <v>353</v>
      </c>
      <c r="L4" s="53" t="s">
        <v>354</v>
      </c>
      <c r="M4" s="53" t="s">
        <v>385</v>
      </c>
      <c r="N4" s="54" t="s">
        <v>10</v>
      </c>
      <c r="O4" s="53" t="s">
        <v>357</v>
      </c>
      <c r="P4" s="53" t="s">
        <v>387</v>
      </c>
      <c r="Q4" s="53" t="s">
        <v>361</v>
      </c>
      <c r="R4" s="53" t="s">
        <v>359</v>
      </c>
      <c r="S4" s="53" t="s">
        <v>358</v>
      </c>
      <c r="T4" s="54" t="s">
        <v>11</v>
      </c>
      <c r="U4" s="53" t="s">
        <v>360</v>
      </c>
      <c r="V4" s="61" t="s">
        <v>367</v>
      </c>
      <c r="W4" s="61" t="s">
        <v>372</v>
      </c>
      <c r="X4" s="61" t="s">
        <v>369</v>
      </c>
      <c r="Y4" s="61" t="s">
        <v>378</v>
      </c>
      <c r="Z4" s="61" t="s">
        <v>379</v>
      </c>
      <c r="AA4" s="61" t="s">
        <v>386</v>
      </c>
      <c r="AB4" s="61" t="s">
        <v>370</v>
      </c>
      <c r="AC4" s="61" t="s">
        <v>371</v>
      </c>
      <c r="AD4" s="61" t="s">
        <v>374</v>
      </c>
      <c r="AE4" s="61" t="s">
        <v>376</v>
      </c>
    </row>
    <row r="5" spans="1:31" ht="42" customHeight="1">
      <c r="A5" s="52" t="s">
        <v>384</v>
      </c>
      <c r="C5" s="55" t="s">
        <v>12</v>
      </c>
      <c r="D5" s="55" t="s">
        <v>382</v>
      </c>
      <c r="E5" s="55"/>
      <c r="F5" s="56"/>
      <c r="G5" s="56"/>
      <c r="H5" s="55" t="s">
        <v>13</v>
      </c>
      <c r="I5" s="55"/>
      <c r="J5" s="55"/>
      <c r="K5" s="55"/>
      <c r="L5" s="55"/>
      <c r="M5" s="55"/>
      <c r="N5" s="57">
        <v>45797</v>
      </c>
      <c r="O5" s="57"/>
      <c r="P5" s="57" t="s">
        <v>388</v>
      </c>
      <c r="Q5" s="57"/>
      <c r="R5" s="57"/>
      <c r="S5" s="58" t="s">
        <v>362</v>
      </c>
      <c r="T5" s="57">
        <v>46231</v>
      </c>
      <c r="U5" s="59" t="s">
        <v>363</v>
      </c>
      <c r="V5" s="56" t="s">
        <v>368</v>
      </c>
      <c r="W5" s="52" t="s">
        <v>373</v>
      </c>
      <c r="X5" s="52" t="s">
        <v>377</v>
      </c>
      <c r="AB5" s="62" t="s">
        <v>380</v>
      </c>
      <c r="AC5" s="62" t="s">
        <v>380</v>
      </c>
      <c r="AD5" s="62" t="s">
        <v>375</v>
      </c>
      <c r="AE5" s="62"/>
    </row>
    <row r="6" spans="1:31" ht="42" customHeight="1">
      <c r="C6" s="55" t="s">
        <v>14</v>
      </c>
      <c r="D6" s="55"/>
      <c r="E6" s="55"/>
      <c r="F6" s="56"/>
      <c r="G6" s="56"/>
      <c r="H6" s="55" t="s">
        <v>15</v>
      </c>
      <c r="I6" s="55"/>
      <c r="J6" s="55"/>
      <c r="K6" s="55"/>
      <c r="L6" s="55"/>
      <c r="M6" s="55"/>
      <c r="N6" s="57">
        <v>46030</v>
      </c>
      <c r="O6" s="57"/>
      <c r="P6" s="57"/>
      <c r="Q6" s="57"/>
      <c r="R6" s="57"/>
      <c r="S6" s="57"/>
      <c r="T6" s="57">
        <v>46230</v>
      </c>
      <c r="U6" s="60" t="str">
        <f t="shared" ref="U6:U37" ca="1" si="0">IF(ISNUMBER(T6),IF(T6&lt;TODAY(),"🔴 En retard",IF(T6&lt;=TODAY()+30,"🟠 À déclencher",IF(T6&lt;=TODAY()+60,"🟡 À préparer","🟢 À jour"))),IF(T6&lt;&gt;"","⚪ À surveiller",IF(OR(ISNUMBER(SEARCH("besoin",H6)),ISNUMBER(SEARCH("الضرورة",H6))),"⚪ À surveiller","⚪ À qualifier")))</f>
        <v>🔴 En retard</v>
      </c>
      <c r="V6" s="56"/>
      <c r="AB6" s="52" t="s">
        <v>381</v>
      </c>
      <c r="AC6" s="52" t="s">
        <v>381</v>
      </c>
    </row>
    <row r="7" spans="1:31" ht="42" customHeight="1">
      <c r="C7" s="55" t="s">
        <v>16</v>
      </c>
      <c r="D7" s="55"/>
      <c r="E7" s="55"/>
      <c r="F7" s="56"/>
      <c r="G7" s="56"/>
      <c r="H7" s="55" t="s">
        <v>15</v>
      </c>
      <c r="I7" s="55"/>
      <c r="J7" s="55"/>
      <c r="K7" s="55"/>
      <c r="L7" s="55"/>
      <c r="M7" s="55"/>
      <c r="N7" s="57">
        <v>45973</v>
      </c>
      <c r="O7" s="57"/>
      <c r="P7" s="57"/>
      <c r="Q7" s="57"/>
      <c r="R7" s="57"/>
      <c r="S7" s="57"/>
      <c r="T7" s="57">
        <v>46233</v>
      </c>
      <c r="U7" s="60" t="str">
        <f t="shared" ca="1" si="0"/>
        <v>🔴 En retard</v>
      </c>
      <c r="V7" s="56"/>
    </row>
    <row r="8" spans="1:31" ht="42" customHeight="1">
      <c r="C8" s="55" t="s">
        <v>17</v>
      </c>
      <c r="D8" s="55"/>
      <c r="E8" s="55"/>
      <c r="F8" s="56"/>
      <c r="G8" s="56"/>
      <c r="H8" s="55" t="s">
        <v>15</v>
      </c>
      <c r="I8" s="55"/>
      <c r="J8" s="55"/>
      <c r="K8" s="55"/>
      <c r="L8" s="55"/>
      <c r="M8" s="55"/>
      <c r="N8" s="57"/>
      <c r="O8" s="57"/>
      <c r="P8" s="57"/>
      <c r="Q8" s="57"/>
      <c r="R8" s="57"/>
      <c r="S8" s="57"/>
      <c r="T8" s="57"/>
      <c r="U8" s="60" t="str">
        <f t="shared" ca="1" si="0"/>
        <v>⚪ À surveiller</v>
      </c>
      <c r="V8" s="56"/>
    </row>
    <row r="9" spans="1:31" ht="42" customHeight="1">
      <c r="C9" s="55" t="s">
        <v>18</v>
      </c>
      <c r="D9" s="55"/>
      <c r="E9" s="55"/>
      <c r="F9" s="56"/>
      <c r="G9" s="56"/>
      <c r="H9" s="55" t="s">
        <v>19</v>
      </c>
      <c r="I9" s="55"/>
      <c r="J9" s="55"/>
      <c r="K9" s="55"/>
      <c r="L9" s="55"/>
      <c r="M9" s="55"/>
      <c r="N9" s="57">
        <v>46129</v>
      </c>
      <c r="O9" s="57"/>
      <c r="P9" s="57"/>
      <c r="Q9" s="57"/>
      <c r="R9" s="57"/>
      <c r="S9" s="57"/>
      <c r="T9" s="57">
        <v>46238</v>
      </c>
      <c r="U9" s="60" t="str">
        <f t="shared" ca="1" si="0"/>
        <v>🔴 En retard</v>
      </c>
      <c r="V9" s="56"/>
    </row>
    <row r="10" spans="1:31" ht="42" customHeight="1">
      <c r="C10" s="55" t="s">
        <v>20</v>
      </c>
      <c r="D10" s="55"/>
      <c r="E10" s="55"/>
      <c r="F10" s="56"/>
      <c r="G10" s="56"/>
      <c r="H10" s="55" t="s">
        <v>15</v>
      </c>
      <c r="I10" s="55"/>
      <c r="J10" s="55"/>
      <c r="K10" s="55"/>
      <c r="L10" s="55"/>
      <c r="M10" s="55"/>
      <c r="N10" s="57">
        <v>46027</v>
      </c>
      <c r="O10" s="57"/>
      <c r="P10" s="57"/>
      <c r="Q10" s="57"/>
      <c r="R10" s="57"/>
      <c r="S10" s="57"/>
      <c r="T10" s="57"/>
      <c r="U10" s="60" t="str">
        <f t="shared" ca="1" si="0"/>
        <v>⚪ À surveiller</v>
      </c>
      <c r="V10" s="56"/>
    </row>
    <row r="11" spans="1:31" ht="42" customHeight="1">
      <c r="C11" s="55" t="s">
        <v>21</v>
      </c>
      <c r="D11" s="55"/>
      <c r="E11" s="55"/>
      <c r="F11" s="56"/>
      <c r="G11" s="56"/>
      <c r="H11" s="55" t="s">
        <v>22</v>
      </c>
      <c r="I11" s="55"/>
      <c r="J11" s="55"/>
      <c r="K11" s="55"/>
      <c r="L11" s="55"/>
      <c r="M11" s="55"/>
      <c r="N11" s="57">
        <v>45244</v>
      </c>
      <c r="O11" s="57"/>
      <c r="P11" s="57"/>
      <c r="Q11" s="57"/>
      <c r="R11" s="57"/>
      <c r="S11" s="57"/>
      <c r="T11" s="57">
        <v>46232</v>
      </c>
      <c r="U11" s="60" t="str">
        <f t="shared" ca="1" si="0"/>
        <v>🔴 En retard</v>
      </c>
      <c r="V11" s="56"/>
    </row>
    <row r="12" spans="1:31" ht="42" customHeight="1">
      <c r="C12" s="55" t="s">
        <v>23</v>
      </c>
      <c r="D12" s="55"/>
      <c r="E12" s="55"/>
      <c r="F12" s="56"/>
      <c r="G12" s="56"/>
      <c r="H12" s="55" t="s">
        <v>24</v>
      </c>
      <c r="I12" s="55"/>
      <c r="J12" s="55"/>
      <c r="K12" s="55"/>
      <c r="L12" s="55"/>
      <c r="M12" s="55"/>
      <c r="N12" s="57">
        <v>46002</v>
      </c>
      <c r="O12" s="57"/>
      <c r="P12" s="57"/>
      <c r="Q12" s="57"/>
      <c r="R12" s="57"/>
      <c r="S12" s="57"/>
      <c r="T12" s="57">
        <v>46233</v>
      </c>
      <c r="U12" s="60" t="str">
        <f t="shared" ca="1" si="0"/>
        <v>🔴 En retard</v>
      </c>
      <c r="V12" s="56"/>
    </row>
    <row r="13" spans="1:31" ht="42" customHeight="1">
      <c r="C13" s="55" t="s">
        <v>25</v>
      </c>
      <c r="D13" s="55"/>
      <c r="E13" s="55"/>
      <c r="F13" s="56"/>
      <c r="G13" s="56"/>
      <c r="H13" s="55" t="s">
        <v>15</v>
      </c>
      <c r="I13" s="55"/>
      <c r="J13" s="55"/>
      <c r="K13" s="55"/>
      <c r="L13" s="55"/>
      <c r="M13" s="55"/>
      <c r="N13" s="57"/>
      <c r="O13" s="57"/>
      <c r="P13" s="57"/>
      <c r="Q13" s="57"/>
      <c r="R13" s="57"/>
      <c r="S13" s="57"/>
      <c r="T13" s="57">
        <v>46267</v>
      </c>
      <c r="U13" s="60" t="str">
        <f t="shared" ca="1" si="0"/>
        <v>🔴 En retard</v>
      </c>
      <c r="V13" s="56"/>
    </row>
    <row r="14" spans="1:31" ht="42" customHeight="1">
      <c r="C14" s="55" t="s">
        <v>26</v>
      </c>
      <c r="D14" s="55"/>
      <c r="E14" s="55"/>
      <c r="F14" s="56"/>
      <c r="G14" s="56"/>
      <c r="H14" s="55" t="s">
        <v>27</v>
      </c>
      <c r="I14" s="55"/>
      <c r="J14" s="55"/>
      <c r="K14" s="55"/>
      <c r="L14" s="55"/>
      <c r="M14" s="55"/>
      <c r="N14" s="57">
        <v>46120</v>
      </c>
      <c r="O14" s="57"/>
      <c r="P14" s="57"/>
      <c r="Q14" s="57"/>
      <c r="R14" s="57"/>
      <c r="S14" s="57"/>
      <c r="T14" s="57">
        <v>46294</v>
      </c>
      <c r="U14" s="60" t="str">
        <f t="shared" ca="1" si="0"/>
        <v>🟠 À déclencher</v>
      </c>
      <c r="V14" s="56"/>
    </row>
    <row r="15" spans="1:31" ht="42" customHeight="1">
      <c r="C15" s="55" t="s">
        <v>28</v>
      </c>
      <c r="D15" s="55"/>
      <c r="E15" s="55"/>
      <c r="F15" s="56"/>
      <c r="G15" s="56"/>
      <c r="H15" s="55" t="s">
        <v>29</v>
      </c>
      <c r="I15" s="55"/>
      <c r="J15" s="55"/>
      <c r="K15" s="55"/>
      <c r="L15" s="55"/>
      <c r="M15" s="55"/>
      <c r="N15" s="57"/>
      <c r="O15" s="57"/>
      <c r="P15" s="57"/>
      <c r="Q15" s="57"/>
      <c r="R15" s="57"/>
      <c r="S15" s="57"/>
      <c r="T15" s="57"/>
      <c r="U15" s="60" t="str">
        <f t="shared" ca="1" si="0"/>
        <v>⚪ À qualifier</v>
      </c>
      <c r="V15" s="56"/>
    </row>
    <row r="16" spans="1:31" ht="42" customHeight="1">
      <c r="C16" s="55" t="s">
        <v>30</v>
      </c>
      <c r="D16" s="55"/>
      <c r="E16" s="55"/>
      <c r="F16" s="56"/>
      <c r="G16" s="56"/>
      <c r="H16" s="55" t="s">
        <v>29</v>
      </c>
      <c r="I16" s="55"/>
      <c r="J16" s="55"/>
      <c r="K16" s="55"/>
      <c r="L16" s="55"/>
      <c r="M16" s="55"/>
      <c r="N16" s="57"/>
      <c r="O16" s="57"/>
      <c r="P16" s="57"/>
      <c r="Q16" s="57"/>
      <c r="R16" s="57"/>
      <c r="S16" s="57"/>
      <c r="T16" s="57"/>
      <c r="U16" s="60" t="str">
        <f t="shared" ca="1" si="0"/>
        <v>⚪ À qualifier</v>
      </c>
      <c r="V16" s="56"/>
    </row>
    <row r="17" spans="3:22" ht="42" customHeight="1">
      <c r="C17" s="55" t="s">
        <v>28</v>
      </c>
      <c r="D17" s="55"/>
      <c r="E17" s="55"/>
      <c r="F17" s="56"/>
      <c r="G17" s="56"/>
      <c r="H17" s="55" t="s">
        <v>31</v>
      </c>
      <c r="I17" s="55"/>
      <c r="J17" s="55"/>
      <c r="K17" s="55"/>
      <c r="L17" s="55"/>
      <c r="M17" s="55"/>
      <c r="N17" s="57"/>
      <c r="O17" s="57"/>
      <c r="P17" s="57"/>
      <c r="Q17" s="57"/>
      <c r="R17" s="57"/>
      <c r="S17" s="57"/>
      <c r="T17" s="57">
        <v>46273</v>
      </c>
      <c r="U17" s="60" t="str">
        <f t="shared" ca="1" si="0"/>
        <v>🔴 En retard</v>
      </c>
      <c r="V17" s="56"/>
    </row>
    <row r="18" spans="3:22" ht="42" customHeight="1">
      <c r="C18" s="55" t="s">
        <v>30</v>
      </c>
      <c r="D18" s="55"/>
      <c r="E18" s="55"/>
      <c r="F18" s="56"/>
      <c r="G18" s="56"/>
      <c r="H18" s="55" t="s">
        <v>31</v>
      </c>
      <c r="I18" s="55"/>
      <c r="J18" s="55"/>
      <c r="K18" s="55"/>
      <c r="L18" s="55"/>
      <c r="M18" s="55"/>
      <c r="N18" s="57"/>
      <c r="O18" s="57"/>
      <c r="P18" s="57"/>
      <c r="Q18" s="57"/>
      <c r="R18" s="57"/>
      <c r="S18" s="57"/>
      <c r="T18" s="57">
        <v>46276</v>
      </c>
      <c r="U18" s="60" t="str">
        <f t="shared" ca="1" si="0"/>
        <v>🔴 En retard</v>
      </c>
      <c r="V18" s="56"/>
    </row>
    <row r="19" spans="3:22" ht="42" customHeight="1">
      <c r="C19" s="55" t="s">
        <v>32</v>
      </c>
      <c r="D19" s="55"/>
      <c r="E19" s="55"/>
      <c r="F19" s="56"/>
      <c r="G19" s="56"/>
      <c r="H19" s="55" t="s">
        <v>33</v>
      </c>
      <c r="I19" s="55"/>
      <c r="J19" s="55"/>
      <c r="K19" s="55"/>
      <c r="L19" s="55"/>
      <c r="M19" s="55"/>
      <c r="N19" s="57"/>
      <c r="O19" s="57"/>
      <c r="P19" s="57"/>
      <c r="Q19" s="57"/>
      <c r="R19" s="57"/>
      <c r="S19" s="57"/>
      <c r="T19" s="57"/>
      <c r="U19" s="60" t="str">
        <f t="shared" ca="1" si="0"/>
        <v>⚪ À qualifier</v>
      </c>
      <c r="V19" s="56"/>
    </row>
    <row r="20" spans="3:22" ht="42" customHeight="1">
      <c r="C20" s="55" t="s">
        <v>34</v>
      </c>
      <c r="D20" s="55"/>
      <c r="E20" s="55"/>
      <c r="F20" s="56"/>
      <c r="G20" s="56"/>
      <c r="H20" s="55" t="s">
        <v>35</v>
      </c>
      <c r="I20" s="55"/>
      <c r="J20" s="55"/>
      <c r="K20" s="55"/>
      <c r="L20" s="55"/>
      <c r="M20" s="55"/>
      <c r="N20" s="57"/>
      <c r="O20" s="57"/>
      <c r="P20" s="57"/>
      <c r="Q20" s="57"/>
      <c r="R20" s="57"/>
      <c r="S20" s="57"/>
      <c r="T20" s="57"/>
      <c r="U20" s="60" t="str">
        <f t="shared" ca="1" si="0"/>
        <v>⚪ À surveiller</v>
      </c>
      <c r="V20" s="56"/>
    </row>
    <row r="21" spans="3:22" ht="42" customHeight="1">
      <c r="C21" s="55" t="s">
        <v>36</v>
      </c>
      <c r="D21" s="55"/>
      <c r="E21" s="55"/>
      <c r="F21" s="56"/>
      <c r="G21" s="56"/>
      <c r="H21" s="55" t="s">
        <v>37</v>
      </c>
      <c r="I21" s="55"/>
      <c r="J21" s="55"/>
      <c r="K21" s="55"/>
      <c r="L21" s="55"/>
      <c r="M21" s="55"/>
      <c r="N21" s="57">
        <v>45547</v>
      </c>
      <c r="O21" s="57"/>
      <c r="P21" s="57"/>
      <c r="Q21" s="57"/>
      <c r="R21" s="57"/>
      <c r="S21" s="57"/>
      <c r="T21" s="57">
        <v>46204</v>
      </c>
      <c r="U21" s="60" t="str">
        <f t="shared" ca="1" si="0"/>
        <v>🔴 En retard</v>
      </c>
      <c r="V21" s="56"/>
    </row>
    <row r="22" spans="3:22" ht="42" customHeight="1">
      <c r="C22" s="55" t="s">
        <v>38</v>
      </c>
      <c r="D22" s="55"/>
      <c r="E22" s="55"/>
      <c r="F22" s="56"/>
      <c r="G22" s="56"/>
      <c r="H22" s="55" t="s">
        <v>39</v>
      </c>
      <c r="I22" s="55"/>
      <c r="J22" s="55"/>
      <c r="K22" s="55"/>
      <c r="L22" s="55"/>
      <c r="M22" s="55"/>
      <c r="N22" s="57">
        <v>45547</v>
      </c>
      <c r="O22" s="57"/>
      <c r="P22" s="57"/>
      <c r="Q22" s="57"/>
      <c r="R22" s="57"/>
      <c r="S22" s="57"/>
      <c r="T22" s="57">
        <v>46204</v>
      </c>
      <c r="U22" s="60" t="str">
        <f t="shared" ca="1" si="0"/>
        <v>🔴 En retard</v>
      </c>
      <c r="V22" s="56"/>
    </row>
    <row r="23" spans="3:22" ht="42" customHeight="1">
      <c r="C23" s="55" t="s">
        <v>40</v>
      </c>
      <c r="D23" s="55"/>
      <c r="E23" s="55"/>
      <c r="F23" s="56"/>
      <c r="G23" s="56"/>
      <c r="H23" s="55" t="s">
        <v>39</v>
      </c>
      <c r="I23" s="55"/>
      <c r="J23" s="55"/>
      <c r="K23" s="55"/>
      <c r="L23" s="55"/>
      <c r="M23" s="55"/>
      <c r="N23" s="57"/>
      <c r="O23" s="57"/>
      <c r="P23" s="57"/>
      <c r="Q23" s="57"/>
      <c r="R23" s="57"/>
      <c r="S23" s="57"/>
      <c r="T23" s="57"/>
      <c r="U23" s="60" t="str">
        <f t="shared" ca="1" si="0"/>
        <v>⚪ À surveiller</v>
      </c>
      <c r="V23" s="56"/>
    </row>
    <row r="24" spans="3:22" ht="42" customHeight="1">
      <c r="C24" s="55" t="s">
        <v>41</v>
      </c>
      <c r="D24" s="55"/>
      <c r="E24" s="55"/>
      <c r="F24" s="56"/>
      <c r="G24" s="56"/>
      <c r="H24" s="55" t="s">
        <v>42</v>
      </c>
      <c r="I24" s="55"/>
      <c r="J24" s="55"/>
      <c r="K24" s="55"/>
      <c r="L24" s="55"/>
      <c r="M24" s="55"/>
      <c r="N24" s="57">
        <v>46127</v>
      </c>
      <c r="O24" s="57"/>
      <c r="P24" s="57"/>
      <c r="Q24" s="57"/>
      <c r="R24" s="57"/>
      <c r="S24" s="57"/>
      <c r="T24" s="57"/>
      <c r="U24" s="60" t="str">
        <f t="shared" ca="1" si="0"/>
        <v>⚪ À surveiller</v>
      </c>
      <c r="V24" s="56"/>
    </row>
    <row r="25" spans="3:22" ht="42" customHeight="1">
      <c r="C25" s="55" t="s">
        <v>43</v>
      </c>
      <c r="D25" s="55"/>
      <c r="E25" s="55"/>
      <c r="F25" s="56"/>
      <c r="G25" s="56"/>
      <c r="H25" s="55" t="s">
        <v>44</v>
      </c>
      <c r="I25" s="55"/>
      <c r="J25" s="55"/>
      <c r="K25" s="55"/>
      <c r="L25" s="55"/>
      <c r="M25" s="55"/>
      <c r="N25" s="57">
        <v>46167</v>
      </c>
      <c r="O25" s="57"/>
      <c r="P25" s="57"/>
      <c r="Q25" s="57"/>
      <c r="R25" s="57"/>
      <c r="S25" s="57"/>
      <c r="T25" s="57"/>
      <c r="U25" s="60" t="str">
        <f t="shared" ca="1" si="0"/>
        <v>⚪ À surveiller</v>
      </c>
      <c r="V25" s="56"/>
    </row>
    <row r="26" spans="3:22" ht="42" customHeight="1">
      <c r="C26" s="55" t="s">
        <v>45</v>
      </c>
      <c r="D26" s="55"/>
      <c r="E26" s="55"/>
      <c r="F26" s="56"/>
      <c r="G26" s="56"/>
      <c r="H26" s="55" t="s">
        <v>46</v>
      </c>
      <c r="I26" s="55"/>
      <c r="J26" s="55"/>
      <c r="K26" s="55"/>
      <c r="L26" s="55"/>
      <c r="M26" s="55"/>
      <c r="N26" s="57"/>
      <c r="O26" s="57"/>
      <c r="P26" s="57"/>
      <c r="Q26" s="57"/>
      <c r="R26" s="57"/>
      <c r="S26" s="57"/>
      <c r="T26" s="57">
        <v>46204</v>
      </c>
      <c r="U26" s="60" t="str">
        <f t="shared" ca="1" si="0"/>
        <v>🔴 En retard</v>
      </c>
      <c r="V26" s="56"/>
    </row>
    <row r="27" spans="3:22" ht="42" customHeight="1">
      <c r="C27" s="55" t="s">
        <v>47</v>
      </c>
      <c r="D27" s="55"/>
      <c r="E27" s="55"/>
      <c r="F27" s="56"/>
      <c r="G27" s="56"/>
      <c r="H27" s="55" t="s">
        <v>48</v>
      </c>
      <c r="I27" s="55"/>
      <c r="J27" s="55"/>
      <c r="K27" s="55"/>
      <c r="L27" s="55"/>
      <c r="M27" s="55"/>
      <c r="N27" s="57">
        <v>45951</v>
      </c>
      <c r="O27" s="57"/>
      <c r="P27" s="57"/>
      <c r="Q27" s="57"/>
      <c r="R27" s="57"/>
      <c r="S27" s="57"/>
      <c r="T27" s="57"/>
      <c r="U27" s="60" t="str">
        <f t="shared" ca="1" si="0"/>
        <v>⚪ À qualifier</v>
      </c>
      <c r="V27" s="56"/>
    </row>
    <row r="28" spans="3:22" ht="42" customHeight="1">
      <c r="C28" s="55" t="s">
        <v>49</v>
      </c>
      <c r="D28" s="55"/>
      <c r="E28" s="55"/>
      <c r="F28" s="56"/>
      <c r="G28" s="56"/>
      <c r="H28" s="55" t="s">
        <v>50</v>
      </c>
      <c r="I28" s="55"/>
      <c r="J28" s="55"/>
      <c r="K28" s="55"/>
      <c r="L28" s="55"/>
      <c r="M28" s="55"/>
      <c r="N28" s="57"/>
      <c r="O28" s="57"/>
      <c r="P28" s="57"/>
      <c r="Q28" s="57"/>
      <c r="R28" s="57"/>
      <c r="S28" s="57"/>
      <c r="T28" s="57"/>
      <c r="U28" s="60" t="str">
        <f t="shared" ca="1" si="0"/>
        <v>⚪ À surveiller</v>
      </c>
      <c r="V28" s="56"/>
    </row>
    <row r="29" spans="3:22" ht="42" customHeight="1">
      <c r="C29" s="55" t="s">
        <v>51</v>
      </c>
      <c r="D29" s="55"/>
      <c r="E29" s="55"/>
      <c r="F29" s="56"/>
      <c r="G29" s="56"/>
      <c r="H29" s="55" t="s">
        <v>52</v>
      </c>
      <c r="I29" s="55"/>
      <c r="J29" s="55"/>
      <c r="K29" s="55"/>
      <c r="L29" s="55"/>
      <c r="M29" s="55"/>
      <c r="N29" s="57">
        <v>46127</v>
      </c>
      <c r="O29" s="57"/>
      <c r="P29" s="57"/>
      <c r="Q29" s="57"/>
      <c r="R29" s="57"/>
      <c r="S29" s="57"/>
      <c r="T29" s="57">
        <v>46204</v>
      </c>
      <c r="U29" s="60" t="str">
        <f t="shared" ca="1" si="0"/>
        <v>🔴 En retard</v>
      </c>
      <c r="V29" s="56"/>
    </row>
    <row r="30" spans="3:22" ht="42" customHeight="1">
      <c r="C30" s="55" t="s">
        <v>53</v>
      </c>
      <c r="D30" s="55"/>
      <c r="E30" s="55"/>
      <c r="F30" s="56"/>
      <c r="G30" s="56"/>
      <c r="H30" s="55" t="s">
        <v>54</v>
      </c>
      <c r="I30" s="55"/>
      <c r="J30" s="55"/>
      <c r="K30" s="55"/>
      <c r="L30" s="55"/>
      <c r="M30" s="55"/>
      <c r="N30" s="57">
        <v>45992</v>
      </c>
      <c r="O30" s="57"/>
      <c r="P30" s="57"/>
      <c r="Q30" s="57"/>
      <c r="R30" s="57"/>
      <c r="S30" s="57"/>
      <c r="T30" s="57"/>
      <c r="U30" s="60" t="str">
        <f t="shared" ca="1" si="0"/>
        <v>⚪ À surveiller</v>
      </c>
      <c r="V30" s="56"/>
    </row>
    <row r="31" spans="3:22" ht="42" customHeight="1">
      <c r="C31" s="55" t="s">
        <v>55</v>
      </c>
      <c r="D31" s="55"/>
      <c r="E31" s="55"/>
      <c r="F31" s="56"/>
      <c r="G31" s="56"/>
      <c r="H31" s="55" t="s">
        <v>56</v>
      </c>
      <c r="I31" s="55"/>
      <c r="J31" s="55"/>
      <c r="K31" s="55"/>
      <c r="L31" s="55"/>
      <c r="M31" s="55"/>
      <c r="N31" s="57">
        <v>44995</v>
      </c>
      <c r="O31" s="57"/>
      <c r="P31" s="57"/>
      <c r="Q31" s="57"/>
      <c r="R31" s="57"/>
      <c r="S31" s="57"/>
      <c r="T31" s="57"/>
      <c r="U31" s="60" t="str">
        <f t="shared" ca="1" si="0"/>
        <v>⚪ À qualifier</v>
      </c>
      <c r="V31" s="56"/>
    </row>
    <row r="32" spans="3:22" ht="42" customHeight="1">
      <c r="C32" s="55" t="s">
        <v>57</v>
      </c>
      <c r="D32" s="55"/>
      <c r="E32" s="55"/>
      <c r="F32" s="56"/>
      <c r="G32" s="56"/>
      <c r="H32" s="55" t="s">
        <v>56</v>
      </c>
      <c r="I32" s="55"/>
      <c r="J32" s="55"/>
      <c r="K32" s="55"/>
      <c r="L32" s="55"/>
      <c r="M32" s="55"/>
      <c r="N32" s="57">
        <v>44994</v>
      </c>
      <c r="O32" s="57"/>
      <c r="P32" s="57"/>
      <c r="Q32" s="57"/>
      <c r="R32" s="57"/>
      <c r="S32" s="57"/>
      <c r="T32" s="57"/>
      <c r="U32" s="60" t="str">
        <f t="shared" ca="1" si="0"/>
        <v>⚪ À qualifier</v>
      </c>
      <c r="V32" s="56"/>
    </row>
    <row r="33" spans="3:22" ht="42" customHeight="1">
      <c r="C33" s="55" t="s">
        <v>58</v>
      </c>
      <c r="D33" s="55"/>
      <c r="E33" s="55"/>
      <c r="F33" s="56"/>
      <c r="G33" s="56"/>
      <c r="H33" s="55" t="s">
        <v>56</v>
      </c>
      <c r="I33" s="55"/>
      <c r="J33" s="55"/>
      <c r="K33" s="55"/>
      <c r="L33" s="55"/>
      <c r="M33" s="55"/>
      <c r="N33" s="57">
        <v>44994</v>
      </c>
      <c r="O33" s="57"/>
      <c r="P33" s="57"/>
      <c r="Q33" s="57"/>
      <c r="R33" s="57"/>
      <c r="S33" s="57"/>
      <c r="T33" s="57"/>
      <c r="U33" s="60" t="str">
        <f t="shared" ca="1" si="0"/>
        <v>⚪ À qualifier</v>
      </c>
      <c r="V33" s="56"/>
    </row>
    <row r="34" spans="3:22" ht="42" customHeight="1">
      <c r="C34" s="55" t="s">
        <v>59</v>
      </c>
      <c r="D34" s="55"/>
      <c r="E34" s="55"/>
      <c r="F34" s="56"/>
      <c r="G34" s="56"/>
      <c r="H34" s="55" t="s">
        <v>56</v>
      </c>
      <c r="I34" s="55"/>
      <c r="J34" s="55"/>
      <c r="K34" s="55"/>
      <c r="L34" s="55"/>
      <c r="M34" s="55"/>
      <c r="N34" s="57">
        <v>44995</v>
      </c>
      <c r="O34" s="57"/>
      <c r="P34" s="57"/>
      <c r="Q34" s="57"/>
      <c r="R34" s="57"/>
      <c r="S34" s="57"/>
      <c r="T34" s="57"/>
      <c r="U34" s="60" t="str">
        <f t="shared" ca="1" si="0"/>
        <v>⚪ À qualifier</v>
      </c>
      <c r="V34" s="56"/>
    </row>
    <row r="35" spans="3:22" ht="42" customHeight="1">
      <c r="C35" s="55" t="s">
        <v>60</v>
      </c>
      <c r="D35" s="55"/>
      <c r="E35" s="55"/>
      <c r="F35" s="56"/>
      <c r="G35" s="56"/>
      <c r="H35" s="55" t="s">
        <v>61</v>
      </c>
      <c r="I35" s="55"/>
      <c r="J35" s="55"/>
      <c r="K35" s="55"/>
      <c r="L35" s="55"/>
      <c r="M35" s="55"/>
      <c r="N35" s="57">
        <v>45987</v>
      </c>
      <c r="O35" s="57"/>
      <c r="P35" s="57"/>
      <c r="Q35" s="57"/>
      <c r="R35" s="57"/>
      <c r="S35" s="57"/>
      <c r="T35" s="57">
        <v>46079</v>
      </c>
      <c r="U35" s="60" t="str">
        <f t="shared" ca="1" si="0"/>
        <v>🔴 En retard</v>
      </c>
      <c r="V35" s="56"/>
    </row>
    <row r="36" spans="3:22" ht="42" customHeight="1">
      <c r="C36" s="55" t="s">
        <v>55</v>
      </c>
      <c r="D36" s="55"/>
      <c r="E36" s="55"/>
      <c r="F36" s="56"/>
      <c r="G36" s="56"/>
      <c r="H36" s="55" t="s">
        <v>56</v>
      </c>
      <c r="I36" s="55"/>
      <c r="J36" s="55"/>
      <c r="K36" s="55"/>
      <c r="L36" s="55"/>
      <c r="M36" s="55"/>
      <c r="N36" s="57"/>
      <c r="O36" s="57"/>
      <c r="P36" s="57"/>
      <c r="Q36" s="57"/>
      <c r="R36" s="57"/>
      <c r="S36" s="57"/>
      <c r="T36" s="57"/>
      <c r="U36" s="60" t="str">
        <f t="shared" ca="1" si="0"/>
        <v>⚪ À qualifier</v>
      </c>
      <c r="V36" s="56"/>
    </row>
    <row r="37" spans="3:22" ht="42" customHeight="1">
      <c r="C37" s="55" t="s">
        <v>62</v>
      </c>
      <c r="D37" s="55"/>
      <c r="E37" s="55"/>
      <c r="F37" s="56"/>
      <c r="G37" s="56"/>
      <c r="H37" s="55" t="s">
        <v>56</v>
      </c>
      <c r="I37" s="55"/>
      <c r="J37" s="55"/>
      <c r="K37" s="55"/>
      <c r="L37" s="55"/>
      <c r="M37" s="55"/>
      <c r="N37" s="57"/>
      <c r="O37" s="57"/>
      <c r="P37" s="57"/>
      <c r="Q37" s="57"/>
      <c r="R37" s="57"/>
      <c r="S37" s="57"/>
      <c r="T37" s="57"/>
      <c r="U37" s="60" t="str">
        <f t="shared" ca="1" si="0"/>
        <v>⚪ À qualifier</v>
      </c>
      <c r="V37" s="56"/>
    </row>
    <row r="38" spans="3:22" ht="42" customHeight="1">
      <c r="C38" s="55" t="s">
        <v>58</v>
      </c>
      <c r="D38" s="55"/>
      <c r="E38" s="55"/>
      <c r="F38" s="56"/>
      <c r="G38" s="56"/>
      <c r="H38" s="55" t="s">
        <v>56</v>
      </c>
      <c r="I38" s="55"/>
      <c r="J38" s="55"/>
      <c r="K38" s="55"/>
      <c r="L38" s="55"/>
      <c r="M38" s="55"/>
      <c r="N38" s="57"/>
      <c r="O38" s="57"/>
      <c r="P38" s="57"/>
      <c r="Q38" s="57"/>
      <c r="R38" s="57"/>
      <c r="S38" s="57"/>
      <c r="T38" s="57"/>
      <c r="U38" s="60" t="str">
        <f t="shared" ref="U38:U69" ca="1" si="1">IF(ISNUMBER(T38),IF(T38&lt;TODAY(),"🔴 En retard",IF(T38&lt;=TODAY()+30,"🟠 À déclencher",IF(T38&lt;=TODAY()+60,"🟡 À préparer","🟢 À jour"))),IF(T38&lt;&gt;"","⚪ À surveiller",IF(OR(ISNUMBER(SEARCH("besoin",H38)),ISNUMBER(SEARCH("الضرورة",H38))),"⚪ À surveiller","⚪ À qualifier")))</f>
        <v>⚪ À qualifier</v>
      </c>
      <c r="V38" s="56"/>
    </row>
    <row r="39" spans="3:22" ht="42" customHeight="1">
      <c r="C39" s="55" t="s">
        <v>59</v>
      </c>
      <c r="D39" s="55"/>
      <c r="E39" s="55"/>
      <c r="F39" s="56"/>
      <c r="G39" s="56"/>
      <c r="H39" s="55" t="s">
        <v>56</v>
      </c>
      <c r="I39" s="55"/>
      <c r="J39" s="55"/>
      <c r="K39" s="55"/>
      <c r="L39" s="55"/>
      <c r="M39" s="55"/>
      <c r="N39" s="57"/>
      <c r="O39" s="57"/>
      <c r="P39" s="57"/>
      <c r="Q39" s="57"/>
      <c r="R39" s="57"/>
      <c r="S39" s="57"/>
      <c r="T39" s="57"/>
      <c r="U39" s="60" t="str">
        <f t="shared" ca="1" si="1"/>
        <v>⚪ À qualifier</v>
      </c>
      <c r="V39" s="56"/>
    </row>
    <row r="40" spans="3:22" ht="42" customHeight="1">
      <c r="C40" s="55" t="s">
        <v>63</v>
      </c>
      <c r="D40" s="55"/>
      <c r="E40" s="55"/>
      <c r="F40" s="56"/>
      <c r="G40" s="56"/>
      <c r="H40" s="55" t="s">
        <v>56</v>
      </c>
      <c r="I40" s="55"/>
      <c r="J40" s="55"/>
      <c r="K40" s="55"/>
      <c r="L40" s="55"/>
      <c r="M40" s="55"/>
      <c r="N40" s="57"/>
      <c r="O40" s="57"/>
      <c r="P40" s="57"/>
      <c r="Q40" s="57"/>
      <c r="R40" s="57"/>
      <c r="S40" s="57"/>
      <c r="T40" s="57"/>
      <c r="U40" s="60" t="str">
        <f t="shared" ca="1" si="1"/>
        <v>⚪ À qualifier</v>
      </c>
      <c r="V40" s="56"/>
    </row>
    <row r="41" spans="3:22" ht="42" customHeight="1">
      <c r="C41" s="55" t="s">
        <v>64</v>
      </c>
      <c r="D41" s="55"/>
      <c r="E41" s="55"/>
      <c r="F41" s="56"/>
      <c r="G41" s="56"/>
      <c r="H41" s="55" t="s">
        <v>56</v>
      </c>
      <c r="I41" s="55"/>
      <c r="J41" s="55"/>
      <c r="K41" s="55"/>
      <c r="L41" s="55"/>
      <c r="M41" s="55"/>
      <c r="N41" s="57"/>
      <c r="O41" s="57"/>
      <c r="P41" s="57"/>
      <c r="Q41" s="57"/>
      <c r="R41" s="57"/>
      <c r="S41" s="57"/>
      <c r="T41" s="57"/>
      <c r="U41" s="60" t="str">
        <f t="shared" ca="1" si="1"/>
        <v>⚪ À qualifier</v>
      </c>
      <c r="V41" s="56"/>
    </row>
    <row r="42" spans="3:22" ht="42" customHeight="1">
      <c r="C42" s="55" t="s">
        <v>65</v>
      </c>
      <c r="D42" s="55"/>
      <c r="E42" s="55"/>
      <c r="F42" s="56"/>
      <c r="G42" s="56"/>
      <c r="H42" s="55" t="s">
        <v>56</v>
      </c>
      <c r="I42" s="55"/>
      <c r="J42" s="55"/>
      <c r="K42" s="55"/>
      <c r="L42" s="55"/>
      <c r="M42" s="55"/>
      <c r="N42" s="57">
        <v>45259</v>
      </c>
      <c r="O42" s="57"/>
      <c r="P42" s="57"/>
      <c r="Q42" s="57"/>
      <c r="R42" s="57"/>
      <c r="S42" s="57"/>
      <c r="T42" s="57"/>
      <c r="U42" s="60" t="str">
        <f t="shared" ca="1" si="1"/>
        <v>⚪ À qualifier</v>
      </c>
      <c r="V42" s="56"/>
    </row>
    <row r="43" spans="3:22" ht="42" customHeight="1">
      <c r="C43" s="55" t="s">
        <v>66</v>
      </c>
      <c r="D43" s="55"/>
      <c r="E43" s="55"/>
      <c r="F43" s="56"/>
      <c r="G43" s="56"/>
      <c r="H43" s="55" t="s">
        <v>67</v>
      </c>
      <c r="I43" s="55"/>
      <c r="J43" s="55"/>
      <c r="K43" s="55"/>
      <c r="L43" s="55"/>
      <c r="M43" s="55"/>
      <c r="N43" s="57">
        <v>45924</v>
      </c>
      <c r="O43" s="57"/>
      <c r="P43" s="57"/>
      <c r="Q43" s="57"/>
      <c r="R43" s="57"/>
      <c r="S43" s="57"/>
      <c r="T43" s="57">
        <v>46015</v>
      </c>
      <c r="U43" s="60" t="str">
        <f t="shared" ca="1" si="1"/>
        <v>🔴 En retard</v>
      </c>
      <c r="V43" s="56"/>
    </row>
    <row r="44" spans="3:22" ht="42" customHeight="1">
      <c r="C44" s="55" t="s">
        <v>68</v>
      </c>
      <c r="D44" s="55"/>
      <c r="E44" s="55"/>
      <c r="F44" s="56"/>
      <c r="G44" s="56"/>
      <c r="H44" s="55" t="s">
        <v>56</v>
      </c>
      <c r="I44" s="55"/>
      <c r="J44" s="55"/>
      <c r="K44" s="55"/>
      <c r="L44" s="55"/>
      <c r="M44" s="55"/>
      <c r="N44" s="57">
        <v>45651</v>
      </c>
      <c r="O44" s="57"/>
      <c r="P44" s="57"/>
      <c r="Q44" s="57"/>
      <c r="R44" s="57"/>
      <c r="S44" s="57"/>
      <c r="T44" s="57"/>
      <c r="U44" s="60" t="str">
        <f t="shared" ca="1" si="1"/>
        <v>⚪ À qualifier</v>
      </c>
      <c r="V44" s="56"/>
    </row>
    <row r="45" spans="3:22" ht="42" customHeight="1">
      <c r="C45" s="55" t="s">
        <v>69</v>
      </c>
      <c r="D45" s="55"/>
      <c r="E45" s="55"/>
      <c r="F45" s="56"/>
      <c r="G45" s="56"/>
      <c r="H45" s="55" t="s">
        <v>56</v>
      </c>
      <c r="I45" s="55"/>
      <c r="J45" s="55"/>
      <c r="K45" s="55"/>
      <c r="L45" s="55"/>
      <c r="M45" s="55"/>
      <c r="N45" s="57"/>
      <c r="O45" s="57"/>
      <c r="P45" s="57"/>
      <c r="Q45" s="57"/>
      <c r="R45" s="57"/>
      <c r="S45" s="57"/>
      <c r="T45" s="57"/>
      <c r="U45" s="60" t="str">
        <f t="shared" ca="1" si="1"/>
        <v>⚪ À qualifier</v>
      </c>
      <c r="V45" s="56"/>
    </row>
    <row r="46" spans="3:22" ht="42" customHeight="1">
      <c r="C46" s="55" t="s">
        <v>70</v>
      </c>
      <c r="D46" s="55"/>
      <c r="E46" s="55"/>
      <c r="F46" s="56"/>
      <c r="G46" s="56"/>
      <c r="H46" s="55" t="s">
        <v>56</v>
      </c>
      <c r="I46" s="55"/>
      <c r="J46" s="55"/>
      <c r="K46" s="55"/>
      <c r="L46" s="55"/>
      <c r="M46" s="55"/>
      <c r="N46" s="57"/>
      <c r="O46" s="57"/>
      <c r="P46" s="57"/>
      <c r="Q46" s="57"/>
      <c r="R46" s="57"/>
      <c r="S46" s="57"/>
      <c r="T46" s="57"/>
      <c r="U46" s="60" t="str">
        <f t="shared" ca="1" si="1"/>
        <v>⚪ À qualifier</v>
      </c>
      <c r="V46" s="56"/>
    </row>
    <row r="47" spans="3:22" ht="42" customHeight="1">
      <c r="C47" s="55" t="s">
        <v>71</v>
      </c>
      <c r="D47" s="55"/>
      <c r="E47" s="55"/>
      <c r="F47" s="56"/>
      <c r="G47" s="56"/>
      <c r="H47" s="55" t="s">
        <v>56</v>
      </c>
      <c r="I47" s="55"/>
      <c r="J47" s="55"/>
      <c r="K47" s="55"/>
      <c r="L47" s="55"/>
      <c r="M47" s="55"/>
      <c r="N47" s="57"/>
      <c r="O47" s="57"/>
      <c r="P47" s="57"/>
      <c r="Q47" s="57"/>
      <c r="R47" s="57"/>
      <c r="S47" s="57"/>
      <c r="T47" s="57"/>
      <c r="U47" s="60" t="str">
        <f t="shared" ca="1" si="1"/>
        <v>⚪ À qualifier</v>
      </c>
      <c r="V47" s="56"/>
    </row>
    <row r="48" spans="3:22" ht="42" customHeight="1">
      <c r="C48" s="55" t="s">
        <v>72</v>
      </c>
      <c r="D48" s="55"/>
      <c r="E48" s="55"/>
      <c r="F48" s="56"/>
      <c r="G48" s="56"/>
      <c r="H48" s="55" t="s">
        <v>56</v>
      </c>
      <c r="I48" s="55"/>
      <c r="J48" s="55"/>
      <c r="K48" s="55"/>
      <c r="L48" s="55"/>
      <c r="M48" s="55"/>
      <c r="N48" s="57"/>
      <c r="O48" s="57"/>
      <c r="P48" s="57"/>
      <c r="Q48" s="57"/>
      <c r="R48" s="57"/>
      <c r="S48" s="57"/>
      <c r="T48" s="57"/>
      <c r="U48" s="60" t="str">
        <f t="shared" ca="1" si="1"/>
        <v>⚪ À qualifier</v>
      </c>
      <c r="V48" s="56"/>
    </row>
    <row r="49" spans="3:22" ht="42" customHeight="1">
      <c r="C49" s="55" t="s">
        <v>73</v>
      </c>
      <c r="D49" s="55"/>
      <c r="E49" s="55"/>
      <c r="F49" s="56"/>
      <c r="G49" s="56"/>
      <c r="H49" s="55" t="s">
        <v>56</v>
      </c>
      <c r="I49" s="55"/>
      <c r="J49" s="55"/>
      <c r="K49" s="55"/>
      <c r="L49" s="55"/>
      <c r="M49" s="55"/>
      <c r="N49" s="57"/>
      <c r="O49" s="57"/>
      <c r="P49" s="57"/>
      <c r="Q49" s="57"/>
      <c r="R49" s="57"/>
      <c r="S49" s="57"/>
      <c r="T49" s="57"/>
      <c r="U49" s="60" t="str">
        <f t="shared" ca="1" si="1"/>
        <v>⚪ À qualifier</v>
      </c>
      <c r="V49" s="56"/>
    </row>
    <row r="50" spans="3:22" ht="42" customHeight="1">
      <c r="C50" s="55" t="s">
        <v>74</v>
      </c>
      <c r="D50" s="55"/>
      <c r="E50" s="55"/>
      <c r="F50" s="56"/>
      <c r="G50" s="56"/>
      <c r="H50" s="55" t="s">
        <v>56</v>
      </c>
      <c r="I50" s="55"/>
      <c r="J50" s="55"/>
      <c r="K50" s="55"/>
      <c r="L50" s="55"/>
      <c r="M50" s="55"/>
      <c r="N50" s="57"/>
      <c r="O50" s="57"/>
      <c r="P50" s="57"/>
      <c r="Q50" s="57"/>
      <c r="R50" s="57"/>
      <c r="S50" s="57"/>
      <c r="T50" s="57"/>
      <c r="U50" s="60" t="str">
        <f t="shared" ca="1" si="1"/>
        <v>⚪ À qualifier</v>
      </c>
      <c r="V50" s="56"/>
    </row>
    <row r="51" spans="3:22" ht="42" customHeight="1">
      <c r="C51" s="55" t="s">
        <v>75</v>
      </c>
      <c r="D51" s="55"/>
      <c r="E51" s="55"/>
      <c r="F51" s="56"/>
      <c r="G51" s="56"/>
      <c r="H51" s="55" t="s">
        <v>56</v>
      </c>
      <c r="I51" s="55"/>
      <c r="J51" s="55"/>
      <c r="K51" s="55"/>
      <c r="L51" s="55"/>
      <c r="M51" s="55"/>
      <c r="N51" s="57"/>
      <c r="O51" s="57"/>
      <c r="P51" s="57"/>
      <c r="Q51" s="57"/>
      <c r="R51" s="57"/>
      <c r="S51" s="57"/>
      <c r="T51" s="57"/>
      <c r="U51" s="60" t="str">
        <f t="shared" ca="1" si="1"/>
        <v>⚪ À qualifier</v>
      </c>
      <c r="V51" s="56"/>
    </row>
    <row r="52" spans="3:22" ht="42" customHeight="1">
      <c r="C52" s="55" t="s">
        <v>76</v>
      </c>
      <c r="D52" s="55"/>
      <c r="E52" s="55"/>
      <c r="F52" s="56"/>
      <c r="G52" s="56"/>
      <c r="H52" s="55" t="s">
        <v>56</v>
      </c>
      <c r="I52" s="55"/>
      <c r="J52" s="55"/>
      <c r="K52" s="55"/>
      <c r="L52" s="55"/>
      <c r="M52" s="55"/>
      <c r="N52" s="57"/>
      <c r="O52" s="57"/>
      <c r="P52" s="57"/>
      <c r="Q52" s="57"/>
      <c r="R52" s="57"/>
      <c r="S52" s="57"/>
      <c r="T52" s="57"/>
      <c r="U52" s="60" t="str">
        <f t="shared" ca="1" si="1"/>
        <v>⚪ À qualifier</v>
      </c>
      <c r="V52" s="56"/>
    </row>
    <row r="53" spans="3:22" ht="42" customHeight="1">
      <c r="C53" s="55" t="s">
        <v>77</v>
      </c>
      <c r="D53" s="55"/>
      <c r="E53" s="55"/>
      <c r="F53" s="56"/>
      <c r="G53" s="56"/>
      <c r="H53" s="55" t="s">
        <v>78</v>
      </c>
      <c r="I53" s="55"/>
      <c r="J53" s="55"/>
      <c r="K53" s="55"/>
      <c r="L53" s="55"/>
      <c r="M53" s="55"/>
      <c r="N53" s="57">
        <v>45610</v>
      </c>
      <c r="O53" s="57"/>
      <c r="P53" s="57"/>
      <c r="Q53" s="57"/>
      <c r="R53" s="57"/>
      <c r="S53" s="57"/>
      <c r="T53" s="57"/>
      <c r="U53" s="60" t="str">
        <f t="shared" ca="1" si="1"/>
        <v>⚪ À surveiller</v>
      </c>
      <c r="V53" s="56"/>
    </row>
    <row r="54" spans="3:22" ht="42" customHeight="1">
      <c r="C54" s="55" t="s">
        <v>79</v>
      </c>
      <c r="D54" s="55"/>
      <c r="E54" s="55"/>
      <c r="F54" s="56"/>
      <c r="G54" s="56"/>
      <c r="H54" s="55" t="s">
        <v>80</v>
      </c>
      <c r="I54" s="55"/>
      <c r="J54" s="55"/>
      <c r="K54" s="55"/>
      <c r="L54" s="55"/>
      <c r="M54" s="55"/>
      <c r="N54" s="57"/>
      <c r="O54" s="57"/>
      <c r="P54" s="57"/>
      <c r="Q54" s="57"/>
      <c r="R54" s="57"/>
      <c r="S54" s="57"/>
      <c r="T54" s="57"/>
      <c r="U54" s="60" t="str">
        <f t="shared" ca="1" si="1"/>
        <v>⚪ À qualifier</v>
      </c>
      <c r="V54" s="56"/>
    </row>
    <row r="55" spans="3:22" ht="42" customHeight="1">
      <c r="C55" s="55" t="s">
        <v>81</v>
      </c>
      <c r="D55" s="55"/>
      <c r="E55" s="55"/>
      <c r="F55" s="56"/>
      <c r="G55" s="56"/>
      <c r="H55" s="55" t="s">
        <v>82</v>
      </c>
      <c r="I55" s="55"/>
      <c r="J55" s="55"/>
      <c r="K55" s="55"/>
      <c r="L55" s="55"/>
      <c r="M55" s="55"/>
      <c r="N55" s="57"/>
      <c r="O55" s="57"/>
      <c r="P55" s="57"/>
      <c r="Q55" s="57"/>
      <c r="R55" s="57"/>
      <c r="S55" s="57"/>
      <c r="T55" s="57"/>
      <c r="U55" s="60" t="str">
        <f t="shared" ca="1" si="1"/>
        <v>⚪ À qualifier</v>
      </c>
      <c r="V55" s="56"/>
    </row>
    <row r="56" spans="3:22" ht="42" customHeight="1">
      <c r="C56" s="55" t="s">
        <v>83</v>
      </c>
      <c r="D56" s="55"/>
      <c r="E56" s="55"/>
      <c r="F56" s="56"/>
      <c r="G56" s="56"/>
      <c r="H56" s="55" t="s">
        <v>82</v>
      </c>
      <c r="I56" s="55"/>
      <c r="J56" s="55"/>
      <c r="K56" s="55"/>
      <c r="L56" s="55"/>
      <c r="M56" s="55"/>
      <c r="N56" s="57"/>
      <c r="O56" s="57"/>
      <c r="P56" s="57"/>
      <c r="Q56" s="57"/>
      <c r="R56" s="57"/>
      <c r="S56" s="57"/>
      <c r="T56" s="57"/>
      <c r="U56" s="60" t="str">
        <f t="shared" ca="1" si="1"/>
        <v>⚪ À qualifier</v>
      </c>
      <c r="V56" s="56"/>
    </row>
    <row r="57" spans="3:22" ht="42" customHeight="1">
      <c r="C57" s="55" t="s">
        <v>84</v>
      </c>
      <c r="D57" s="55"/>
      <c r="E57" s="55"/>
      <c r="F57" s="56"/>
      <c r="G57" s="56"/>
      <c r="H57" s="55" t="s">
        <v>78</v>
      </c>
      <c r="I57" s="55"/>
      <c r="J57" s="55"/>
      <c r="K57" s="55"/>
      <c r="L57" s="55"/>
      <c r="M57" s="55"/>
      <c r="N57" s="57"/>
      <c r="O57" s="57"/>
      <c r="P57" s="57"/>
      <c r="Q57" s="57"/>
      <c r="R57" s="57"/>
      <c r="S57" s="57"/>
      <c r="T57" s="57"/>
      <c r="U57" s="60" t="str">
        <f t="shared" ca="1" si="1"/>
        <v>⚪ À surveiller</v>
      </c>
      <c r="V57" s="56"/>
    </row>
    <row r="58" spans="3:22" ht="42" customHeight="1">
      <c r="C58" s="55" t="s">
        <v>85</v>
      </c>
      <c r="D58" s="55"/>
      <c r="E58" s="55"/>
      <c r="F58" s="56"/>
      <c r="G58" s="56"/>
      <c r="H58" s="55" t="s">
        <v>56</v>
      </c>
      <c r="I58" s="55"/>
      <c r="J58" s="55"/>
      <c r="K58" s="55"/>
      <c r="L58" s="55"/>
      <c r="M58" s="55"/>
      <c r="N58" s="57"/>
      <c r="O58" s="57"/>
      <c r="P58" s="57"/>
      <c r="Q58" s="57"/>
      <c r="R58" s="57"/>
      <c r="S58" s="57"/>
      <c r="T58" s="57"/>
      <c r="U58" s="60" t="str">
        <f t="shared" ca="1" si="1"/>
        <v>⚪ À qualifier</v>
      </c>
      <c r="V58" s="56"/>
    </row>
    <row r="59" spans="3:22" ht="42" customHeight="1">
      <c r="C59" s="55" t="s">
        <v>86</v>
      </c>
      <c r="D59" s="55"/>
      <c r="E59" s="55"/>
      <c r="F59" s="56"/>
      <c r="G59" s="56"/>
      <c r="H59" s="55" t="s">
        <v>56</v>
      </c>
      <c r="I59" s="55"/>
      <c r="J59" s="55"/>
      <c r="K59" s="55"/>
      <c r="L59" s="55"/>
      <c r="M59" s="55"/>
      <c r="N59" s="57"/>
      <c r="O59" s="57"/>
      <c r="P59" s="57"/>
      <c r="Q59" s="57"/>
      <c r="R59" s="57"/>
      <c r="S59" s="57"/>
      <c r="T59" s="57"/>
      <c r="U59" s="60" t="str">
        <f t="shared" ca="1" si="1"/>
        <v>⚪ À qualifier</v>
      </c>
      <c r="V59" s="56"/>
    </row>
    <row r="60" spans="3:22" ht="42" customHeight="1">
      <c r="C60" s="55" t="s">
        <v>87</v>
      </c>
      <c r="D60" s="55"/>
      <c r="E60" s="55"/>
      <c r="F60" s="56"/>
      <c r="G60" s="56"/>
      <c r="H60" s="55" t="s">
        <v>56</v>
      </c>
      <c r="I60" s="55"/>
      <c r="J60" s="55"/>
      <c r="K60" s="55"/>
      <c r="L60" s="55"/>
      <c r="M60" s="55"/>
      <c r="N60" s="57"/>
      <c r="O60" s="57"/>
      <c r="P60" s="57"/>
      <c r="Q60" s="57"/>
      <c r="R60" s="57"/>
      <c r="S60" s="57"/>
      <c r="T60" s="57"/>
      <c r="U60" s="60" t="str">
        <f t="shared" ca="1" si="1"/>
        <v>⚪ À qualifier</v>
      </c>
      <c r="V60" s="56"/>
    </row>
    <row r="61" spans="3:22" ht="42" customHeight="1">
      <c r="C61" s="55" t="s">
        <v>88</v>
      </c>
      <c r="D61" s="55"/>
      <c r="E61" s="55"/>
      <c r="F61" s="56"/>
      <c r="G61" s="56"/>
      <c r="H61" s="55" t="s">
        <v>56</v>
      </c>
      <c r="I61" s="55"/>
      <c r="J61" s="55"/>
      <c r="K61" s="55"/>
      <c r="L61" s="55"/>
      <c r="M61" s="55"/>
      <c r="N61" s="57"/>
      <c r="O61" s="57"/>
      <c r="P61" s="57"/>
      <c r="Q61" s="57"/>
      <c r="R61" s="57"/>
      <c r="S61" s="57"/>
      <c r="T61" s="57"/>
      <c r="U61" s="60" t="str">
        <f t="shared" ca="1" si="1"/>
        <v>⚪ À qualifier</v>
      </c>
      <c r="V61" s="56"/>
    </row>
    <row r="62" spans="3:22" ht="42" customHeight="1">
      <c r="C62" s="55" t="s">
        <v>69</v>
      </c>
      <c r="D62" s="55"/>
      <c r="E62" s="55"/>
      <c r="F62" s="56"/>
      <c r="G62" s="56"/>
      <c r="H62" s="55" t="s">
        <v>56</v>
      </c>
      <c r="I62" s="55"/>
      <c r="J62" s="55"/>
      <c r="K62" s="55"/>
      <c r="L62" s="55"/>
      <c r="M62" s="55"/>
      <c r="N62" s="57"/>
      <c r="O62" s="57"/>
      <c r="P62" s="57"/>
      <c r="Q62" s="57"/>
      <c r="R62" s="57"/>
      <c r="S62" s="57"/>
      <c r="T62" s="57"/>
      <c r="U62" s="60" t="str">
        <f t="shared" ca="1" si="1"/>
        <v>⚪ À qualifier</v>
      </c>
      <c r="V62" s="56"/>
    </row>
    <row r="63" spans="3:22" ht="42" customHeight="1">
      <c r="C63" s="55" t="s">
        <v>71</v>
      </c>
      <c r="D63" s="55"/>
      <c r="E63" s="55"/>
      <c r="F63" s="56"/>
      <c r="G63" s="56"/>
      <c r="H63" s="55" t="s">
        <v>56</v>
      </c>
      <c r="I63" s="55"/>
      <c r="J63" s="55"/>
      <c r="K63" s="55"/>
      <c r="L63" s="55"/>
      <c r="M63" s="55"/>
      <c r="N63" s="57"/>
      <c r="O63" s="57"/>
      <c r="P63" s="57"/>
      <c r="Q63" s="57"/>
      <c r="R63" s="57"/>
      <c r="S63" s="57"/>
      <c r="T63" s="57"/>
      <c r="U63" s="60" t="str">
        <f t="shared" ca="1" si="1"/>
        <v>⚪ À qualifier</v>
      </c>
      <c r="V63" s="56"/>
    </row>
    <row r="64" spans="3:22" ht="42" customHeight="1">
      <c r="C64" s="55" t="s">
        <v>68</v>
      </c>
      <c r="D64" s="55"/>
      <c r="E64" s="55"/>
      <c r="F64" s="56"/>
      <c r="G64" s="56"/>
      <c r="H64" s="55" t="s">
        <v>56</v>
      </c>
      <c r="I64" s="55"/>
      <c r="J64" s="55"/>
      <c r="K64" s="55"/>
      <c r="L64" s="55"/>
      <c r="M64" s="55"/>
      <c r="N64" s="57"/>
      <c r="O64" s="57"/>
      <c r="P64" s="57"/>
      <c r="Q64" s="57"/>
      <c r="R64" s="57"/>
      <c r="S64" s="57"/>
      <c r="T64" s="57"/>
      <c r="U64" s="60" t="str">
        <f t="shared" ca="1" si="1"/>
        <v>⚪ À qualifier</v>
      </c>
      <c r="V64" s="56"/>
    </row>
    <row r="65" spans="3:22" ht="42" customHeight="1">
      <c r="C65" s="55" t="s">
        <v>89</v>
      </c>
      <c r="D65" s="55"/>
      <c r="E65" s="55"/>
      <c r="F65" s="56"/>
      <c r="G65" s="56"/>
      <c r="H65" s="55" t="s">
        <v>56</v>
      </c>
      <c r="I65" s="55"/>
      <c r="J65" s="55"/>
      <c r="K65" s="55"/>
      <c r="L65" s="55"/>
      <c r="M65" s="55"/>
      <c r="N65" s="57"/>
      <c r="O65" s="57"/>
      <c r="P65" s="57"/>
      <c r="Q65" s="57"/>
      <c r="R65" s="57"/>
      <c r="S65" s="57"/>
      <c r="T65" s="57"/>
      <c r="U65" s="60" t="str">
        <f t="shared" ca="1" si="1"/>
        <v>⚪ À qualifier</v>
      </c>
      <c r="V65" s="56"/>
    </row>
    <row r="66" spans="3:22" ht="42" customHeight="1">
      <c r="C66" s="55" t="s">
        <v>70</v>
      </c>
      <c r="D66" s="55"/>
      <c r="E66" s="55"/>
      <c r="F66" s="56"/>
      <c r="G66" s="56"/>
      <c r="H66" s="55" t="s">
        <v>56</v>
      </c>
      <c r="I66" s="55"/>
      <c r="J66" s="55"/>
      <c r="K66" s="55"/>
      <c r="L66" s="55"/>
      <c r="M66" s="55"/>
      <c r="N66" s="57"/>
      <c r="O66" s="57"/>
      <c r="P66" s="57"/>
      <c r="Q66" s="57"/>
      <c r="R66" s="57"/>
      <c r="S66" s="57"/>
      <c r="T66" s="57"/>
      <c r="U66" s="60" t="str">
        <f t="shared" ca="1" si="1"/>
        <v>⚪ À qualifier</v>
      </c>
      <c r="V66" s="56"/>
    </row>
    <row r="67" spans="3:22" ht="42" customHeight="1">
      <c r="C67" s="55" t="s">
        <v>72</v>
      </c>
      <c r="D67" s="55"/>
      <c r="E67" s="55"/>
      <c r="F67" s="56"/>
      <c r="G67" s="56"/>
      <c r="H67" s="55" t="s">
        <v>56</v>
      </c>
      <c r="I67" s="55"/>
      <c r="J67" s="55"/>
      <c r="K67" s="55"/>
      <c r="L67" s="55"/>
      <c r="M67" s="55"/>
      <c r="N67" s="57"/>
      <c r="O67" s="57"/>
      <c r="P67" s="57"/>
      <c r="Q67" s="57"/>
      <c r="R67" s="57"/>
      <c r="S67" s="57"/>
      <c r="T67" s="57"/>
      <c r="U67" s="60" t="str">
        <f t="shared" ca="1" si="1"/>
        <v>⚪ À qualifier</v>
      </c>
      <c r="V67" s="56"/>
    </row>
    <row r="68" spans="3:22" ht="42" customHeight="1">
      <c r="C68" s="55" t="s">
        <v>73</v>
      </c>
      <c r="D68" s="55"/>
      <c r="E68" s="55"/>
      <c r="F68" s="56"/>
      <c r="G68" s="56"/>
      <c r="H68" s="55" t="s">
        <v>56</v>
      </c>
      <c r="I68" s="55"/>
      <c r="J68" s="55"/>
      <c r="K68" s="55"/>
      <c r="L68" s="55"/>
      <c r="M68" s="55"/>
      <c r="N68" s="57"/>
      <c r="O68" s="57"/>
      <c r="P68" s="57"/>
      <c r="Q68" s="57"/>
      <c r="R68" s="57"/>
      <c r="S68" s="57"/>
      <c r="T68" s="57"/>
      <c r="U68" s="60" t="str">
        <f t="shared" ca="1" si="1"/>
        <v>⚪ À qualifier</v>
      </c>
      <c r="V68" s="56"/>
    </row>
    <row r="69" spans="3:22" ht="42" customHeight="1">
      <c r="C69" s="55" t="s">
        <v>75</v>
      </c>
      <c r="D69" s="55"/>
      <c r="E69" s="55"/>
      <c r="F69" s="56"/>
      <c r="G69" s="56"/>
      <c r="H69" s="55" t="s">
        <v>56</v>
      </c>
      <c r="I69" s="55"/>
      <c r="J69" s="55"/>
      <c r="K69" s="55"/>
      <c r="L69" s="55"/>
      <c r="M69" s="55"/>
      <c r="N69" s="57"/>
      <c r="O69" s="57"/>
      <c r="P69" s="57"/>
      <c r="Q69" s="57"/>
      <c r="R69" s="57"/>
      <c r="S69" s="57"/>
      <c r="T69" s="57"/>
      <c r="U69" s="60" t="str">
        <f t="shared" ca="1" si="1"/>
        <v>⚪ À qualifier</v>
      </c>
      <c r="V69" s="56"/>
    </row>
    <row r="70" spans="3:22" ht="42" customHeight="1">
      <c r="C70" s="55" t="s">
        <v>90</v>
      </c>
      <c r="D70" s="55"/>
      <c r="E70" s="55"/>
      <c r="F70" s="56"/>
      <c r="G70" s="56"/>
      <c r="H70" s="55" t="s">
        <v>56</v>
      </c>
      <c r="I70" s="55"/>
      <c r="J70" s="55"/>
      <c r="K70" s="55"/>
      <c r="L70" s="55"/>
      <c r="M70" s="55"/>
      <c r="N70" s="57"/>
      <c r="O70" s="57"/>
      <c r="P70" s="57"/>
      <c r="Q70" s="57"/>
      <c r="R70" s="57"/>
      <c r="S70" s="57"/>
      <c r="T70" s="57"/>
      <c r="U70" s="60" t="str">
        <f t="shared" ref="U70:U101" ca="1" si="2">IF(ISNUMBER(T70),IF(T70&lt;TODAY(),"🔴 En retard",IF(T70&lt;=TODAY()+30,"🟠 À déclencher",IF(T70&lt;=TODAY()+60,"🟡 À préparer","🟢 À jour"))),IF(T70&lt;&gt;"","⚪ À surveiller",IF(OR(ISNUMBER(SEARCH("besoin",H70)),ISNUMBER(SEARCH("الضرورة",H70))),"⚪ À surveiller","⚪ À qualifier")))</f>
        <v>⚪ À qualifier</v>
      </c>
      <c r="V70" s="56"/>
    </row>
    <row r="71" spans="3:22" ht="42" customHeight="1">
      <c r="C71" s="55" t="s">
        <v>91</v>
      </c>
      <c r="D71" s="55"/>
      <c r="E71" s="55"/>
      <c r="F71" s="56"/>
      <c r="G71" s="56"/>
      <c r="H71" s="55" t="s">
        <v>92</v>
      </c>
      <c r="I71" s="55"/>
      <c r="J71" s="55"/>
      <c r="K71" s="55"/>
      <c r="L71" s="55"/>
      <c r="M71" s="55"/>
      <c r="N71" s="57"/>
      <c r="O71" s="57"/>
      <c r="P71" s="57"/>
      <c r="Q71" s="57"/>
      <c r="R71" s="57"/>
      <c r="S71" s="57"/>
      <c r="T71" s="57"/>
      <c r="U71" s="60" t="str">
        <f t="shared" ca="1" si="2"/>
        <v>⚪ À qualifier</v>
      </c>
      <c r="V71" s="56"/>
    </row>
    <row r="72" spans="3:22" ht="42" customHeight="1">
      <c r="C72" s="55" t="s">
        <v>93</v>
      </c>
      <c r="D72" s="55"/>
      <c r="E72" s="55"/>
      <c r="F72" s="56"/>
      <c r="G72" s="56"/>
      <c r="H72" s="55" t="s">
        <v>94</v>
      </c>
      <c r="I72" s="55"/>
      <c r="J72" s="55"/>
      <c r="K72" s="55"/>
      <c r="L72" s="55"/>
      <c r="M72" s="55"/>
      <c r="N72" s="57"/>
      <c r="O72" s="57"/>
      <c r="P72" s="57"/>
      <c r="Q72" s="57"/>
      <c r="R72" s="57"/>
      <c r="S72" s="57"/>
      <c r="T72" s="57"/>
      <c r="U72" s="60" t="str">
        <f t="shared" ca="1" si="2"/>
        <v>⚪ À qualifier</v>
      </c>
      <c r="V72" s="56"/>
    </row>
    <row r="73" spans="3:22" ht="42" customHeight="1">
      <c r="C73" s="55" t="s">
        <v>95</v>
      </c>
      <c r="D73" s="55"/>
      <c r="E73" s="55"/>
      <c r="F73" s="56"/>
      <c r="G73" s="56"/>
      <c r="H73" s="55" t="s">
        <v>94</v>
      </c>
      <c r="I73" s="55"/>
      <c r="J73" s="55"/>
      <c r="K73" s="55"/>
      <c r="L73" s="55"/>
      <c r="M73" s="55"/>
      <c r="N73" s="57"/>
      <c r="O73" s="57"/>
      <c r="P73" s="57"/>
      <c r="Q73" s="57"/>
      <c r="R73" s="57"/>
      <c r="S73" s="57"/>
      <c r="T73" s="57"/>
      <c r="U73" s="60" t="str">
        <f t="shared" ca="1" si="2"/>
        <v>⚪ À qualifier</v>
      </c>
      <c r="V73" s="56"/>
    </row>
    <row r="74" spans="3:22" ht="42" customHeight="1">
      <c r="C74" s="55" t="s">
        <v>96</v>
      </c>
      <c r="D74" s="55"/>
      <c r="E74" s="55"/>
      <c r="F74" s="56"/>
      <c r="G74" s="56"/>
      <c r="H74" s="55" t="s">
        <v>56</v>
      </c>
      <c r="I74" s="55"/>
      <c r="J74" s="55"/>
      <c r="K74" s="55"/>
      <c r="L74" s="55"/>
      <c r="M74" s="55"/>
      <c r="N74" s="57"/>
      <c r="O74" s="57"/>
      <c r="P74" s="57"/>
      <c r="Q74" s="57"/>
      <c r="R74" s="57"/>
      <c r="S74" s="57"/>
      <c r="T74" s="57"/>
      <c r="U74" s="60" t="str">
        <f t="shared" ca="1" si="2"/>
        <v>⚪ À qualifier</v>
      </c>
      <c r="V74" s="56"/>
    </row>
    <row r="75" spans="3:22" ht="42" customHeight="1">
      <c r="C75" s="55" t="s">
        <v>74</v>
      </c>
      <c r="D75" s="55"/>
      <c r="E75" s="55"/>
      <c r="F75" s="56"/>
      <c r="G75" s="56"/>
      <c r="H75" s="55" t="s">
        <v>56</v>
      </c>
      <c r="I75" s="55"/>
      <c r="J75" s="55"/>
      <c r="K75" s="55"/>
      <c r="L75" s="55"/>
      <c r="M75" s="55"/>
      <c r="N75" s="57"/>
      <c r="O75" s="57"/>
      <c r="P75" s="57"/>
      <c r="Q75" s="57"/>
      <c r="R75" s="57"/>
      <c r="S75" s="57"/>
      <c r="T75" s="57"/>
      <c r="U75" s="60" t="str">
        <f t="shared" ca="1" si="2"/>
        <v>⚪ À qualifier</v>
      </c>
      <c r="V75" s="56"/>
    </row>
    <row r="76" spans="3:22" ht="42" customHeight="1">
      <c r="C76" s="55" t="s">
        <v>97</v>
      </c>
      <c r="D76" s="55"/>
      <c r="E76" s="55"/>
      <c r="F76" s="56"/>
      <c r="G76" s="56"/>
      <c r="H76" s="55" t="s">
        <v>29</v>
      </c>
      <c r="I76" s="55"/>
      <c r="J76" s="55"/>
      <c r="K76" s="55"/>
      <c r="L76" s="55"/>
      <c r="M76" s="55"/>
      <c r="N76" s="57"/>
      <c r="O76" s="57"/>
      <c r="P76" s="57"/>
      <c r="Q76" s="57"/>
      <c r="R76" s="57"/>
      <c r="S76" s="57"/>
      <c r="T76" s="57"/>
      <c r="U76" s="60" t="str">
        <f t="shared" ca="1" si="2"/>
        <v>⚪ À qualifier</v>
      </c>
      <c r="V76" s="56"/>
    </row>
    <row r="77" spans="3:22" ht="42" customHeight="1">
      <c r="C77" s="55" t="s">
        <v>98</v>
      </c>
      <c r="D77" s="55"/>
      <c r="E77" s="55"/>
      <c r="F77" s="56"/>
      <c r="G77" s="56"/>
      <c r="H77" s="55" t="s">
        <v>94</v>
      </c>
      <c r="I77" s="55"/>
      <c r="J77" s="55"/>
      <c r="K77" s="55"/>
      <c r="L77" s="55"/>
      <c r="M77" s="55"/>
      <c r="N77" s="57"/>
      <c r="O77" s="57"/>
      <c r="P77" s="57"/>
      <c r="Q77" s="57"/>
      <c r="R77" s="57"/>
      <c r="S77" s="57"/>
      <c r="T77" s="57"/>
      <c r="U77" s="60" t="str">
        <f t="shared" ca="1" si="2"/>
        <v>⚪ À qualifier</v>
      </c>
      <c r="V77" s="56"/>
    </row>
    <row r="78" spans="3:22" ht="42" customHeight="1">
      <c r="C78" s="55" t="s">
        <v>99</v>
      </c>
      <c r="D78" s="55"/>
      <c r="E78" s="55"/>
      <c r="F78" s="56"/>
      <c r="G78" s="56"/>
      <c r="H78" s="55" t="s">
        <v>94</v>
      </c>
      <c r="I78" s="55"/>
      <c r="J78" s="55"/>
      <c r="K78" s="55"/>
      <c r="L78" s="55"/>
      <c r="M78" s="55"/>
      <c r="N78" s="57"/>
      <c r="O78" s="57"/>
      <c r="P78" s="57"/>
      <c r="Q78" s="57"/>
      <c r="R78" s="57"/>
      <c r="S78" s="57"/>
      <c r="T78" s="57"/>
      <c r="U78" s="60" t="str">
        <f t="shared" ca="1" si="2"/>
        <v>⚪ À qualifier</v>
      </c>
      <c r="V78" s="56"/>
    </row>
    <row r="79" spans="3:22" ht="42" customHeight="1">
      <c r="C79" s="55" t="s">
        <v>100</v>
      </c>
      <c r="D79" s="55"/>
      <c r="E79" s="55"/>
      <c r="F79" s="56"/>
      <c r="G79" s="56"/>
      <c r="H79" s="55" t="s">
        <v>94</v>
      </c>
      <c r="I79" s="55"/>
      <c r="J79" s="55"/>
      <c r="K79" s="55"/>
      <c r="L79" s="55"/>
      <c r="M79" s="55"/>
      <c r="N79" s="57"/>
      <c r="O79" s="57"/>
      <c r="P79" s="57"/>
      <c r="Q79" s="57"/>
      <c r="R79" s="57"/>
      <c r="S79" s="57"/>
      <c r="T79" s="57"/>
      <c r="U79" s="60" t="str">
        <f t="shared" ca="1" si="2"/>
        <v>⚪ À qualifier</v>
      </c>
      <c r="V79" s="56"/>
    </row>
    <row r="80" spans="3:22" ht="42" customHeight="1">
      <c r="C80" s="55" t="s">
        <v>101</v>
      </c>
      <c r="D80" s="55"/>
      <c r="E80" s="55"/>
      <c r="F80" s="56"/>
      <c r="G80" s="56"/>
      <c r="H80" s="55" t="s">
        <v>56</v>
      </c>
      <c r="I80" s="55"/>
      <c r="J80" s="55"/>
      <c r="K80" s="55"/>
      <c r="L80" s="55"/>
      <c r="M80" s="55"/>
      <c r="N80" s="57"/>
      <c r="O80" s="57"/>
      <c r="P80" s="57"/>
      <c r="Q80" s="57"/>
      <c r="R80" s="57"/>
      <c r="S80" s="57"/>
      <c r="T80" s="57"/>
      <c r="U80" s="60" t="str">
        <f t="shared" ca="1" si="2"/>
        <v>⚪ À qualifier</v>
      </c>
      <c r="V80" s="56"/>
    </row>
    <row r="81" spans="3:22" ht="42" customHeight="1">
      <c r="C81" s="55" t="s">
        <v>102</v>
      </c>
      <c r="D81" s="55"/>
      <c r="E81" s="55"/>
      <c r="F81" s="56"/>
      <c r="G81" s="56"/>
      <c r="H81" s="55" t="s">
        <v>80</v>
      </c>
      <c r="I81" s="55"/>
      <c r="J81" s="55"/>
      <c r="K81" s="55"/>
      <c r="L81" s="55"/>
      <c r="M81" s="55"/>
      <c r="N81" s="57"/>
      <c r="O81" s="57"/>
      <c r="P81" s="57"/>
      <c r="Q81" s="57"/>
      <c r="R81" s="57"/>
      <c r="S81" s="57"/>
      <c r="T81" s="57"/>
      <c r="U81" s="60" t="str">
        <f t="shared" ca="1" si="2"/>
        <v>⚪ À qualifier</v>
      </c>
      <c r="V81" s="56"/>
    </row>
    <row r="82" spans="3:22" ht="42" customHeight="1">
      <c r="C82" s="55" t="s">
        <v>103</v>
      </c>
      <c r="D82" s="55"/>
      <c r="E82" s="55"/>
      <c r="F82" s="56"/>
      <c r="G82" s="56"/>
      <c r="H82" s="55" t="s">
        <v>56</v>
      </c>
      <c r="I82" s="55"/>
      <c r="J82" s="55"/>
      <c r="K82" s="55"/>
      <c r="L82" s="55"/>
      <c r="M82" s="55"/>
      <c r="N82" s="57"/>
      <c r="O82" s="57"/>
      <c r="P82" s="57"/>
      <c r="Q82" s="57"/>
      <c r="R82" s="57"/>
      <c r="S82" s="57"/>
      <c r="T82" s="57"/>
      <c r="U82" s="60" t="str">
        <f t="shared" ca="1" si="2"/>
        <v>⚪ À qualifier</v>
      </c>
      <c r="V82" s="56"/>
    </row>
    <row r="83" spans="3:22" ht="42" customHeight="1">
      <c r="C83" s="55" t="s">
        <v>104</v>
      </c>
      <c r="D83" s="55"/>
      <c r="E83" s="55"/>
      <c r="F83" s="56"/>
      <c r="G83" s="56"/>
      <c r="H83" s="55" t="s">
        <v>105</v>
      </c>
      <c r="I83" s="55"/>
      <c r="J83" s="55"/>
      <c r="K83" s="55"/>
      <c r="L83" s="55"/>
      <c r="M83" s="55"/>
      <c r="N83" s="57"/>
      <c r="O83" s="57"/>
      <c r="P83" s="57"/>
      <c r="Q83" s="57"/>
      <c r="R83" s="57"/>
      <c r="S83" s="57"/>
      <c r="T83" s="57"/>
      <c r="U83" s="60" t="str">
        <f t="shared" ca="1" si="2"/>
        <v>⚪ À qualifier</v>
      </c>
      <c r="V83" s="56"/>
    </row>
    <row r="84" spans="3:22" ht="42" customHeight="1">
      <c r="C84" s="55" t="s">
        <v>106</v>
      </c>
      <c r="D84" s="55"/>
      <c r="E84" s="55"/>
      <c r="F84" s="56"/>
      <c r="G84" s="56"/>
      <c r="H84" s="55" t="s">
        <v>107</v>
      </c>
      <c r="I84" s="55"/>
      <c r="J84" s="55"/>
      <c r="K84" s="55"/>
      <c r="L84" s="55"/>
      <c r="M84" s="55"/>
      <c r="N84" s="57">
        <v>44860</v>
      </c>
      <c r="O84" s="57"/>
      <c r="P84" s="57"/>
      <c r="Q84" s="57"/>
      <c r="R84" s="57"/>
      <c r="S84" s="57"/>
      <c r="T84" s="57">
        <v>46296</v>
      </c>
      <c r="U84" s="60" t="str">
        <f t="shared" ca="1" si="2"/>
        <v>🟠 À déclencher</v>
      </c>
      <c r="V84" s="56"/>
    </row>
    <row r="85" spans="3:22" ht="42" customHeight="1">
      <c r="C85" s="55" t="s">
        <v>108</v>
      </c>
      <c r="D85" s="55"/>
      <c r="E85" s="55"/>
      <c r="F85" s="56"/>
      <c r="G85" s="56"/>
      <c r="H85" s="55" t="s">
        <v>109</v>
      </c>
      <c r="I85" s="55"/>
      <c r="J85" s="55"/>
      <c r="K85" s="55"/>
      <c r="L85" s="55"/>
      <c r="M85" s="55"/>
      <c r="N85" s="57">
        <v>45447</v>
      </c>
      <c r="O85" s="57"/>
      <c r="P85" s="57"/>
      <c r="Q85" s="57"/>
      <c r="R85" s="57"/>
      <c r="S85" s="57"/>
      <c r="T85" s="57">
        <v>45812</v>
      </c>
      <c r="U85" s="60" t="str">
        <f t="shared" ca="1" si="2"/>
        <v>🔴 En retard</v>
      </c>
      <c r="V85" s="56"/>
    </row>
    <row r="86" spans="3:22" ht="42" customHeight="1">
      <c r="C86" s="55" t="s">
        <v>110</v>
      </c>
      <c r="D86" s="55"/>
      <c r="E86" s="55"/>
      <c r="F86" s="56"/>
      <c r="G86" s="56"/>
      <c r="H86" s="55" t="s">
        <v>78</v>
      </c>
      <c r="I86" s="55"/>
      <c r="J86" s="55"/>
      <c r="K86" s="55"/>
      <c r="L86" s="55"/>
      <c r="M86" s="55"/>
      <c r="N86" s="57">
        <v>46200</v>
      </c>
      <c r="O86" s="57"/>
      <c r="P86" s="57"/>
      <c r="Q86" s="57"/>
      <c r="R86" s="57"/>
      <c r="S86" s="57"/>
      <c r="T86" s="57"/>
      <c r="U86" s="60" t="str">
        <f t="shared" ca="1" si="2"/>
        <v>⚪ À surveiller</v>
      </c>
      <c r="V86" s="56"/>
    </row>
    <row r="87" spans="3:22" ht="42" customHeight="1">
      <c r="C87" s="55" t="s">
        <v>111</v>
      </c>
      <c r="D87" s="55"/>
      <c r="E87" s="55"/>
      <c r="F87" s="56"/>
      <c r="G87" s="56"/>
      <c r="H87" s="55" t="s">
        <v>112</v>
      </c>
      <c r="I87" s="55"/>
      <c r="J87" s="55"/>
      <c r="K87" s="55"/>
      <c r="L87" s="55"/>
      <c r="M87" s="55"/>
      <c r="N87" s="57"/>
      <c r="O87" s="57"/>
      <c r="P87" s="57"/>
      <c r="Q87" s="57"/>
      <c r="R87" s="57"/>
      <c r="S87" s="57"/>
      <c r="T87" s="57"/>
      <c r="U87" s="60" t="str">
        <f t="shared" ca="1" si="2"/>
        <v>⚪ À qualifier</v>
      </c>
      <c r="V87" s="56"/>
    </row>
    <row r="88" spans="3:22" ht="42" customHeight="1">
      <c r="C88" s="55" t="s">
        <v>113</v>
      </c>
      <c r="D88" s="55"/>
      <c r="E88" s="55"/>
      <c r="F88" s="56"/>
      <c r="G88" s="56"/>
      <c r="H88" s="55" t="s">
        <v>112</v>
      </c>
      <c r="I88" s="55"/>
      <c r="J88" s="55"/>
      <c r="K88" s="55"/>
      <c r="L88" s="55"/>
      <c r="M88" s="55"/>
      <c r="N88" s="57"/>
      <c r="O88" s="57"/>
      <c r="P88" s="57"/>
      <c r="Q88" s="57"/>
      <c r="R88" s="57"/>
      <c r="S88" s="57"/>
      <c r="T88" s="57"/>
      <c r="U88" s="60" t="str">
        <f t="shared" ca="1" si="2"/>
        <v>⚪ À qualifier</v>
      </c>
      <c r="V88" s="56"/>
    </row>
    <row r="89" spans="3:22" ht="42" customHeight="1">
      <c r="C89" s="55" t="s">
        <v>114</v>
      </c>
      <c r="D89" s="55"/>
      <c r="E89" s="55"/>
      <c r="F89" s="56"/>
      <c r="G89" s="56"/>
      <c r="H89" s="55" t="s">
        <v>78</v>
      </c>
      <c r="I89" s="55"/>
      <c r="J89" s="55"/>
      <c r="K89" s="55"/>
      <c r="L89" s="55"/>
      <c r="M89" s="55"/>
      <c r="N89" s="57"/>
      <c r="O89" s="57"/>
      <c r="P89" s="57"/>
      <c r="Q89" s="57"/>
      <c r="R89" s="57"/>
      <c r="S89" s="57"/>
      <c r="T89" s="57"/>
      <c r="U89" s="60" t="str">
        <f t="shared" ca="1" si="2"/>
        <v>⚪ À surveiller</v>
      </c>
      <c r="V89" s="56"/>
    </row>
    <row r="90" spans="3:22" ht="42" customHeight="1">
      <c r="C90" s="55" t="s">
        <v>115</v>
      </c>
      <c r="D90" s="55"/>
      <c r="E90" s="55"/>
      <c r="F90" s="56"/>
      <c r="G90" s="56"/>
      <c r="H90" s="55" t="s">
        <v>78</v>
      </c>
      <c r="I90" s="55"/>
      <c r="J90" s="55"/>
      <c r="K90" s="55"/>
      <c r="L90" s="55"/>
      <c r="M90" s="55"/>
      <c r="N90" s="57"/>
      <c r="O90" s="57"/>
      <c r="P90" s="57"/>
      <c r="Q90" s="57"/>
      <c r="R90" s="57"/>
      <c r="S90" s="57"/>
      <c r="T90" s="57"/>
      <c r="U90" s="60" t="str">
        <f t="shared" ca="1" si="2"/>
        <v>⚪ À surveiller</v>
      </c>
      <c r="V90" s="56"/>
    </row>
    <row r="91" spans="3:22" ht="42" customHeight="1">
      <c r="C91" s="55" t="s">
        <v>116</v>
      </c>
      <c r="D91" s="55"/>
      <c r="E91" s="55"/>
      <c r="F91" s="56"/>
      <c r="G91" s="56"/>
      <c r="H91" s="55" t="s">
        <v>78</v>
      </c>
      <c r="I91" s="55"/>
      <c r="J91" s="55"/>
      <c r="K91" s="55"/>
      <c r="L91" s="55"/>
      <c r="M91" s="55"/>
      <c r="N91" s="57">
        <v>45994</v>
      </c>
      <c r="O91" s="57"/>
      <c r="P91" s="57"/>
      <c r="Q91" s="57"/>
      <c r="R91" s="57"/>
      <c r="S91" s="57"/>
      <c r="T91" s="57"/>
      <c r="U91" s="60" t="str">
        <f t="shared" ca="1" si="2"/>
        <v>⚪ À surveiller</v>
      </c>
      <c r="V91" s="56"/>
    </row>
    <row r="92" spans="3:22" ht="42" customHeight="1">
      <c r="C92" s="55" t="s">
        <v>117</v>
      </c>
      <c r="D92" s="55"/>
      <c r="E92" s="55"/>
      <c r="F92" s="56"/>
      <c r="G92" s="56"/>
      <c r="H92" s="55" t="s">
        <v>78</v>
      </c>
      <c r="I92" s="55"/>
      <c r="J92" s="55"/>
      <c r="K92" s="55"/>
      <c r="L92" s="55"/>
      <c r="M92" s="55"/>
      <c r="N92" s="57">
        <v>45931</v>
      </c>
      <c r="O92" s="57"/>
      <c r="P92" s="57"/>
      <c r="Q92" s="57"/>
      <c r="R92" s="57"/>
      <c r="S92" s="57"/>
      <c r="T92" s="57"/>
      <c r="U92" s="60" t="str">
        <f t="shared" ca="1" si="2"/>
        <v>⚪ À surveiller</v>
      </c>
      <c r="V92" s="56"/>
    </row>
    <row r="93" spans="3:22" ht="42" customHeight="1">
      <c r="C93" s="55" t="s">
        <v>118</v>
      </c>
      <c r="D93" s="55"/>
      <c r="E93" s="55"/>
      <c r="F93" s="56"/>
      <c r="G93" s="56"/>
      <c r="H93" s="55" t="s">
        <v>78</v>
      </c>
      <c r="I93" s="55"/>
      <c r="J93" s="55"/>
      <c r="K93" s="55"/>
      <c r="L93" s="55"/>
      <c r="M93" s="55"/>
      <c r="N93" s="57"/>
      <c r="O93" s="57"/>
      <c r="P93" s="57"/>
      <c r="Q93" s="57"/>
      <c r="R93" s="57"/>
      <c r="S93" s="57"/>
      <c r="T93" s="57"/>
      <c r="U93" s="60" t="str">
        <f t="shared" ca="1" si="2"/>
        <v>⚪ À surveiller</v>
      </c>
      <c r="V93" s="56"/>
    </row>
    <row r="94" spans="3:22" ht="42" customHeight="1">
      <c r="C94" s="55" t="s">
        <v>119</v>
      </c>
      <c r="D94" s="55"/>
      <c r="E94" s="55"/>
      <c r="F94" s="56"/>
      <c r="G94" s="56"/>
      <c r="H94" s="55" t="s">
        <v>78</v>
      </c>
      <c r="I94" s="55"/>
      <c r="J94" s="55"/>
      <c r="K94" s="55"/>
      <c r="L94" s="55"/>
      <c r="M94" s="55"/>
      <c r="N94" s="57"/>
      <c r="O94" s="57"/>
      <c r="P94" s="57"/>
      <c r="Q94" s="57"/>
      <c r="R94" s="57"/>
      <c r="S94" s="57"/>
      <c r="T94" s="57"/>
      <c r="U94" s="60" t="str">
        <f t="shared" ca="1" si="2"/>
        <v>⚪ À surveiller</v>
      </c>
      <c r="V94" s="56"/>
    </row>
    <row r="95" spans="3:22" ht="42" customHeight="1">
      <c r="C95" s="55" t="s">
        <v>120</v>
      </c>
      <c r="D95" s="55"/>
      <c r="E95" s="55"/>
      <c r="F95" s="56"/>
      <c r="G95" s="56"/>
      <c r="H95" s="55" t="s">
        <v>78</v>
      </c>
      <c r="I95" s="55"/>
      <c r="J95" s="55"/>
      <c r="K95" s="55"/>
      <c r="L95" s="55"/>
      <c r="M95" s="55"/>
      <c r="N95" s="57"/>
      <c r="O95" s="57"/>
      <c r="P95" s="57"/>
      <c r="Q95" s="57"/>
      <c r="R95" s="57"/>
      <c r="S95" s="57"/>
      <c r="T95" s="57"/>
      <c r="U95" s="60" t="str">
        <f t="shared" ca="1" si="2"/>
        <v>⚪ À surveiller</v>
      </c>
      <c r="V95" s="56"/>
    </row>
    <row r="96" spans="3:22" ht="42" customHeight="1">
      <c r="C96" s="55" t="s">
        <v>121</v>
      </c>
      <c r="D96" s="55"/>
      <c r="E96" s="55"/>
      <c r="F96" s="56"/>
      <c r="G96" s="56"/>
      <c r="H96" s="55" t="s">
        <v>78</v>
      </c>
      <c r="I96" s="55"/>
      <c r="J96" s="55"/>
      <c r="K96" s="55"/>
      <c r="L96" s="55"/>
      <c r="M96" s="55"/>
      <c r="N96" s="57"/>
      <c r="O96" s="57"/>
      <c r="P96" s="57"/>
      <c r="Q96" s="57"/>
      <c r="R96" s="57"/>
      <c r="S96" s="57"/>
      <c r="T96" s="57"/>
      <c r="U96" s="60" t="str">
        <f t="shared" ca="1" si="2"/>
        <v>⚪ À surveiller</v>
      </c>
      <c r="V96" s="56"/>
    </row>
    <row r="97" spans="3:31" ht="42" customHeight="1">
      <c r="C97" s="55" t="s">
        <v>122</v>
      </c>
      <c r="D97" s="55"/>
      <c r="E97" s="55"/>
      <c r="F97" s="56"/>
      <c r="G97" s="56"/>
      <c r="H97" s="55" t="s">
        <v>78</v>
      </c>
      <c r="I97" s="55"/>
      <c r="J97" s="55"/>
      <c r="K97" s="55"/>
      <c r="L97" s="55"/>
      <c r="M97" s="55"/>
      <c r="N97" s="57"/>
      <c r="O97" s="57"/>
      <c r="P97" s="57"/>
      <c r="Q97" s="57"/>
      <c r="R97" s="57"/>
      <c r="S97" s="57"/>
      <c r="T97" s="57"/>
      <c r="U97" s="60" t="str">
        <f t="shared" ca="1" si="2"/>
        <v>⚪ À surveiller</v>
      </c>
      <c r="V97" s="56"/>
    </row>
    <row r="98" spans="3:31" ht="42" customHeight="1">
      <c r="C98" s="55" t="s">
        <v>123</v>
      </c>
      <c r="D98" s="55"/>
      <c r="E98" s="55"/>
      <c r="F98" s="56"/>
      <c r="G98" s="56"/>
      <c r="H98" s="55" t="s">
        <v>78</v>
      </c>
      <c r="I98" s="55"/>
      <c r="J98" s="55"/>
      <c r="K98" s="55"/>
      <c r="L98" s="55"/>
      <c r="M98" s="55"/>
      <c r="N98" s="57">
        <v>46079</v>
      </c>
      <c r="O98" s="57"/>
      <c r="P98" s="57"/>
      <c r="Q98" s="57"/>
      <c r="R98" s="57"/>
      <c r="S98" s="57"/>
      <c r="T98" s="57"/>
      <c r="U98" s="60" t="str">
        <f t="shared" ca="1" si="2"/>
        <v>⚪ À surveiller</v>
      </c>
      <c r="V98" s="56"/>
    </row>
    <row r="99" spans="3:31" ht="42" customHeight="1">
      <c r="C99" s="55" t="s">
        <v>124</v>
      </c>
      <c r="D99" s="55"/>
      <c r="E99" s="55"/>
      <c r="F99" s="56"/>
      <c r="G99" s="56"/>
      <c r="H99" s="55" t="s">
        <v>78</v>
      </c>
      <c r="I99" s="55"/>
      <c r="J99" s="55"/>
      <c r="K99" s="55"/>
      <c r="L99" s="55"/>
      <c r="M99" s="55"/>
      <c r="N99" s="57">
        <v>46197</v>
      </c>
      <c r="O99" s="57"/>
      <c r="P99" s="57"/>
      <c r="Q99" s="57"/>
      <c r="R99" s="57"/>
      <c r="S99" s="57"/>
      <c r="T99" s="57"/>
      <c r="U99" s="60" t="str">
        <f t="shared" ca="1" si="2"/>
        <v>⚪ À surveiller</v>
      </c>
      <c r="V99" s="56"/>
    </row>
    <row r="100" spans="3:31" ht="42" customHeight="1">
      <c r="C100" s="55" t="s">
        <v>125</v>
      </c>
      <c r="D100" s="55"/>
      <c r="E100" s="55"/>
      <c r="F100" s="56"/>
      <c r="G100" s="56"/>
      <c r="H100" s="55" t="s">
        <v>78</v>
      </c>
      <c r="I100" s="55"/>
      <c r="J100" s="55"/>
      <c r="K100" s="55"/>
      <c r="L100" s="55"/>
      <c r="M100" s="55"/>
      <c r="N100" s="57"/>
      <c r="O100" s="57"/>
      <c r="P100" s="57"/>
      <c r="Q100" s="57"/>
      <c r="R100" s="57"/>
      <c r="S100" s="57"/>
      <c r="T100" s="57"/>
      <c r="U100" s="60" t="str">
        <f t="shared" ca="1" si="2"/>
        <v>⚪ À surveiller</v>
      </c>
      <c r="V100" s="56"/>
    </row>
    <row r="101" spans="3:31" ht="42" customHeight="1">
      <c r="C101" s="55" t="s">
        <v>126</v>
      </c>
      <c r="D101" s="55"/>
      <c r="E101" s="55"/>
      <c r="F101" s="56"/>
      <c r="G101" s="56"/>
      <c r="H101" s="55" t="s">
        <v>107</v>
      </c>
      <c r="I101" s="55"/>
      <c r="J101" s="55"/>
      <c r="K101" s="55"/>
      <c r="L101" s="55"/>
      <c r="M101" s="55"/>
      <c r="N101" s="57"/>
      <c r="O101" s="57"/>
      <c r="P101" s="57"/>
      <c r="Q101" s="57"/>
      <c r="R101" s="57"/>
      <c r="S101" s="57"/>
      <c r="T101" s="57">
        <v>46296</v>
      </c>
      <c r="U101" s="60" t="str">
        <f t="shared" ca="1" si="2"/>
        <v>🟠 À déclencher</v>
      </c>
      <c r="V101" s="56"/>
    </row>
    <row r="102" spans="3:31" ht="42" customHeight="1">
      <c r="C102" s="55" t="s">
        <v>127</v>
      </c>
      <c r="D102" s="55"/>
      <c r="E102" s="55"/>
      <c r="F102" s="56"/>
      <c r="G102" s="56"/>
      <c r="H102" s="55" t="s">
        <v>128</v>
      </c>
      <c r="I102" s="55"/>
      <c r="J102" s="55"/>
      <c r="K102" s="55"/>
      <c r="L102" s="55"/>
      <c r="M102" s="55"/>
      <c r="N102" s="57">
        <v>45034</v>
      </c>
      <c r="O102" s="57"/>
      <c r="P102" s="57"/>
      <c r="Q102" s="57"/>
      <c r="R102" s="57"/>
      <c r="S102" s="57"/>
      <c r="T102" s="57"/>
      <c r="U102" s="60" t="str">
        <f t="shared" ref="U102:U112" ca="1" si="3">IF(ISNUMBER(T102),IF(T102&lt;TODAY(),"🔴 En retard",IF(T102&lt;=TODAY()+30,"🟠 À déclencher",IF(T102&lt;=TODAY()+60,"🟡 À préparer","🟢 À jour"))),IF(T102&lt;&gt;"","⚪ À surveiller",IF(OR(ISNUMBER(SEARCH("besoin",H102)),ISNUMBER(SEARCH("الضرورة",H102))),"⚪ À surveiller","⚪ À qualifier")))</f>
        <v>⚪ À qualifier</v>
      </c>
      <c r="V102" s="56"/>
    </row>
    <row r="103" spans="3:31" ht="42" customHeight="1">
      <c r="C103" s="55" t="s">
        <v>129</v>
      </c>
      <c r="D103" s="55"/>
      <c r="E103" s="55"/>
      <c r="F103" s="56"/>
      <c r="G103" s="56"/>
      <c r="H103" s="55" t="s">
        <v>78</v>
      </c>
      <c r="I103" s="55"/>
      <c r="J103" s="55"/>
      <c r="K103" s="55"/>
      <c r="L103" s="55"/>
      <c r="M103" s="55"/>
      <c r="N103" s="57"/>
      <c r="O103" s="57"/>
      <c r="P103" s="57"/>
      <c r="Q103" s="57"/>
      <c r="R103" s="57"/>
      <c r="S103" s="57"/>
      <c r="T103" s="57">
        <v>45761</v>
      </c>
      <c r="U103" s="60" t="str">
        <f t="shared" ca="1" si="3"/>
        <v>🔴 En retard</v>
      </c>
      <c r="V103" s="56"/>
    </row>
    <row r="104" spans="3:31" ht="42" customHeight="1">
      <c r="C104" s="55" t="s">
        <v>130</v>
      </c>
      <c r="D104" s="55"/>
      <c r="E104" s="55"/>
      <c r="F104" s="56"/>
      <c r="G104" s="56"/>
      <c r="H104" s="55" t="s">
        <v>131</v>
      </c>
      <c r="I104" s="55"/>
      <c r="J104" s="55"/>
      <c r="K104" s="55"/>
      <c r="L104" s="55"/>
      <c r="M104" s="55"/>
      <c r="N104" s="57">
        <v>45689</v>
      </c>
      <c r="O104" s="57"/>
      <c r="P104" s="57"/>
      <c r="Q104" s="57"/>
      <c r="R104" s="57"/>
      <c r="S104" s="57"/>
      <c r="T104" s="57">
        <v>45870</v>
      </c>
      <c r="U104" s="60" t="str">
        <f t="shared" ca="1" si="3"/>
        <v>🔴 En retard</v>
      </c>
      <c r="V104" s="56"/>
    </row>
    <row r="105" spans="3:31" ht="42" customHeight="1">
      <c r="C105" s="55" t="s">
        <v>132</v>
      </c>
      <c r="D105" s="55"/>
      <c r="E105" s="55"/>
      <c r="F105" s="56"/>
      <c r="G105" s="56"/>
      <c r="H105" s="55" t="s">
        <v>128</v>
      </c>
      <c r="I105" s="55"/>
      <c r="J105" s="55"/>
      <c r="K105" s="55"/>
      <c r="L105" s="55"/>
      <c r="M105" s="55"/>
      <c r="N105" s="57"/>
      <c r="O105" s="57"/>
      <c r="P105" s="57"/>
      <c r="Q105" s="57"/>
      <c r="R105" s="57"/>
      <c r="S105" s="57"/>
      <c r="T105" s="57"/>
      <c r="U105" s="60" t="str">
        <f t="shared" ca="1" si="3"/>
        <v>⚪ À qualifier</v>
      </c>
      <c r="V105" s="56"/>
    </row>
    <row r="106" spans="3:31" ht="42" customHeight="1">
      <c r="C106" s="55" t="s">
        <v>133</v>
      </c>
      <c r="D106" s="55"/>
      <c r="E106" s="55"/>
      <c r="F106" s="56"/>
      <c r="G106" s="56"/>
      <c r="H106" s="55" t="s">
        <v>134</v>
      </c>
      <c r="I106" s="55"/>
      <c r="J106" s="55"/>
      <c r="K106" s="55"/>
      <c r="L106" s="55"/>
      <c r="M106" s="55"/>
      <c r="N106" s="57"/>
      <c r="O106" s="57"/>
      <c r="P106" s="57"/>
      <c r="Q106" s="57"/>
      <c r="R106" s="57"/>
      <c r="S106" s="57"/>
      <c r="T106" s="57"/>
      <c r="U106" s="60" t="str">
        <f t="shared" ca="1" si="3"/>
        <v>⚪ À qualifier</v>
      </c>
      <c r="V106" s="56"/>
    </row>
    <row r="107" spans="3:31" ht="42" customHeight="1">
      <c r="C107" s="55" t="s">
        <v>135</v>
      </c>
      <c r="D107" s="55"/>
      <c r="E107" s="55"/>
      <c r="F107" s="56"/>
      <c r="G107" s="56"/>
      <c r="H107" s="55" t="s">
        <v>78</v>
      </c>
      <c r="I107" s="55"/>
      <c r="J107" s="55"/>
      <c r="K107" s="55"/>
      <c r="L107" s="55"/>
      <c r="M107" s="55"/>
      <c r="N107" s="57">
        <v>45260</v>
      </c>
      <c r="O107" s="57"/>
      <c r="P107" s="57"/>
      <c r="Q107" s="57"/>
      <c r="R107" s="57"/>
      <c r="S107" s="57"/>
      <c r="T107" s="57"/>
      <c r="U107" s="60" t="str">
        <f t="shared" ca="1" si="3"/>
        <v>⚪ À surveiller</v>
      </c>
      <c r="V107" s="56"/>
    </row>
    <row r="108" spans="3:31" ht="42" customHeight="1">
      <c r="C108" s="55" t="s">
        <v>136</v>
      </c>
      <c r="D108" s="55"/>
      <c r="E108" s="55"/>
      <c r="F108" s="56"/>
      <c r="G108" s="56"/>
      <c r="H108" s="55" t="s">
        <v>78</v>
      </c>
      <c r="I108" s="55"/>
      <c r="J108" s="55"/>
      <c r="K108" s="55"/>
      <c r="L108" s="55"/>
      <c r="M108" s="55"/>
      <c r="N108" s="57">
        <v>46064</v>
      </c>
      <c r="O108" s="57"/>
      <c r="P108" s="57"/>
      <c r="Q108" s="57"/>
      <c r="R108" s="57"/>
      <c r="S108" s="57"/>
      <c r="T108" s="57"/>
      <c r="U108" s="60" t="str">
        <f t="shared" ca="1" si="3"/>
        <v>⚪ À surveiller</v>
      </c>
      <c r="V108" s="56"/>
    </row>
    <row r="109" spans="3:31" ht="42" customHeight="1">
      <c r="C109" s="55" t="s">
        <v>137</v>
      </c>
      <c r="D109" s="55"/>
      <c r="E109" s="55"/>
      <c r="F109" s="56"/>
      <c r="G109" s="56"/>
      <c r="H109" s="55" t="s">
        <v>138</v>
      </c>
      <c r="I109" s="55"/>
      <c r="J109" s="55"/>
      <c r="K109" s="55"/>
      <c r="L109" s="55"/>
      <c r="M109" s="55"/>
      <c r="N109" s="57"/>
      <c r="O109" s="57"/>
      <c r="P109" s="57"/>
      <c r="Q109" s="57"/>
      <c r="R109" s="57"/>
      <c r="S109" s="57"/>
      <c r="T109" s="57">
        <v>46157</v>
      </c>
      <c r="U109" s="60" t="str">
        <f t="shared" ca="1" si="3"/>
        <v>🔴 En retard</v>
      </c>
      <c r="V109" s="56"/>
    </row>
    <row r="110" spans="3:31" ht="42" customHeight="1">
      <c r="C110" s="55" t="s">
        <v>139</v>
      </c>
      <c r="D110" s="55"/>
      <c r="E110" s="55"/>
      <c r="F110" s="56"/>
      <c r="G110" s="56"/>
      <c r="H110" s="55" t="s">
        <v>78</v>
      </c>
      <c r="I110" s="55"/>
      <c r="J110" s="55"/>
      <c r="K110" s="55"/>
      <c r="L110" s="55"/>
      <c r="M110" s="55"/>
      <c r="N110" s="57"/>
      <c r="O110" s="57"/>
      <c r="P110" s="57"/>
      <c r="Q110" s="57"/>
      <c r="R110" s="57"/>
      <c r="S110" s="57"/>
      <c r="T110" s="57"/>
      <c r="U110" s="60" t="str">
        <f t="shared" ca="1" si="3"/>
        <v>⚪ À surveiller</v>
      </c>
      <c r="V110" s="56"/>
    </row>
    <row r="111" spans="3:31" ht="42" customHeight="1">
      <c r="C111" s="55" t="s">
        <v>140</v>
      </c>
      <c r="D111" s="55"/>
      <c r="E111" s="55"/>
      <c r="F111" s="56"/>
      <c r="G111" s="56"/>
      <c r="H111" s="55" t="s">
        <v>78</v>
      </c>
      <c r="I111" s="55"/>
      <c r="J111" s="55"/>
      <c r="K111" s="55"/>
      <c r="L111" s="55"/>
      <c r="M111" s="55"/>
      <c r="N111" s="57"/>
      <c r="O111" s="57"/>
      <c r="P111" s="57"/>
      <c r="Q111" s="57"/>
      <c r="R111" s="57"/>
      <c r="S111" s="57"/>
      <c r="T111" s="57"/>
      <c r="U111" s="60" t="str">
        <f t="shared" ca="1" si="3"/>
        <v>⚪ À surveiller</v>
      </c>
      <c r="V111" s="56"/>
    </row>
    <row r="112" spans="3:31" ht="42" customHeight="1">
      <c r="C112" s="55" t="s">
        <v>141</v>
      </c>
      <c r="D112" s="55"/>
      <c r="E112" s="55"/>
      <c r="F112" s="56"/>
      <c r="G112" s="56"/>
      <c r="H112" s="55" t="s">
        <v>78</v>
      </c>
      <c r="I112" s="55"/>
      <c r="J112" s="55"/>
      <c r="K112" s="55"/>
      <c r="L112" s="55"/>
      <c r="M112" s="55"/>
      <c r="N112" s="57"/>
      <c r="O112" s="57"/>
      <c r="P112" s="57"/>
      <c r="Q112" s="57"/>
      <c r="R112" s="57"/>
      <c r="S112" s="57"/>
      <c r="T112" s="57"/>
      <c r="U112" s="60" t="str">
        <f t="shared" ca="1" si="3"/>
        <v>⚪ À surveiller</v>
      </c>
      <c r="V112" s="56"/>
      <c r="AC112" s="63"/>
      <c r="AD112" s="63"/>
      <c r="AE112" s="63"/>
    </row>
    <row r="113" spans="3:20" ht="42" customHeight="1">
      <c r="C113" s="55" t="s">
        <v>142</v>
      </c>
      <c r="D113" s="55"/>
      <c r="E113" s="55"/>
      <c r="F113" s="56"/>
      <c r="G113" s="56"/>
      <c r="H113" s="55" t="s">
        <v>143</v>
      </c>
      <c r="I113" s="57">
        <v>45827</v>
      </c>
      <c r="J113" s="57"/>
      <c r="K113" s="57"/>
      <c r="L113" s="57">
        <v>46197</v>
      </c>
      <c r="M113" s="57"/>
      <c r="N113" s="60" t="str">
        <f t="shared" ref="N113:N132" ca="1" si="4">IF(ISNUMBER(L113),IF(L113&lt;TODAY(),"🔴 En retard",IF(L113&lt;=TODAY()+30,"🟠 À déclencher",IF(L113&lt;=TODAY()+60,"🟡 À préparer","🟢 À jour"))),IF(L113&lt;&gt;"","⚪ À surveiller",IF(OR(ISNUMBER(SEARCH("besoin",H113)),ISNUMBER(SEARCH("الضرورة",H113))),"⚪ À surveiller","⚪ À qualifier")))</f>
        <v>🔴 En retard</v>
      </c>
      <c r="O113" s="60"/>
      <c r="P113" s="60"/>
      <c r="Q113" s="60"/>
      <c r="R113" s="60"/>
      <c r="S113" s="60"/>
      <c r="T113" s="56" t="str">
        <f t="shared" ref="T113:T132" ca="1" si="5">IF(N113="🔴 En retard","Organiser / régulariser",IF(N113="🟠 À déclencher","Préparer la convocation",IF(N113="🟡 À préparer","Anticiper avec le responsable",IF(N113="⚪ À surveiller","Vérifier le déclencheur","Aucune action immédiate"))))</f>
        <v>Organiser / régulariser</v>
      </c>
    </row>
    <row r="114" spans="3:20" ht="42" customHeight="1">
      <c r="C114" s="55" t="s">
        <v>144</v>
      </c>
      <c r="D114" s="55"/>
      <c r="E114" s="55"/>
      <c r="F114" s="56"/>
      <c r="G114" s="56"/>
      <c r="H114" s="55" t="s">
        <v>145</v>
      </c>
      <c r="I114" s="57">
        <v>46022</v>
      </c>
      <c r="J114" s="57"/>
      <c r="K114" s="57"/>
      <c r="L114" s="57">
        <v>46176</v>
      </c>
      <c r="M114" s="57"/>
      <c r="N114" s="60" t="str">
        <f t="shared" ca="1" si="4"/>
        <v>🔴 En retard</v>
      </c>
      <c r="O114" s="60"/>
      <c r="P114" s="60"/>
      <c r="Q114" s="60"/>
      <c r="R114" s="60"/>
      <c r="S114" s="60"/>
      <c r="T114" s="56" t="str">
        <f t="shared" ca="1" si="5"/>
        <v>Organiser / régulariser</v>
      </c>
    </row>
    <row r="115" spans="3:20" ht="42" customHeight="1">
      <c r="C115" s="55" t="s">
        <v>146</v>
      </c>
      <c r="D115" s="55"/>
      <c r="E115" s="55"/>
      <c r="F115" s="56"/>
      <c r="G115" s="56"/>
      <c r="H115" s="55" t="s">
        <v>147</v>
      </c>
      <c r="I115" s="57">
        <v>45995</v>
      </c>
      <c r="J115" s="57"/>
      <c r="K115" s="57"/>
      <c r="L115" s="57">
        <v>46204</v>
      </c>
      <c r="M115" s="57"/>
      <c r="N115" s="60" t="str">
        <f t="shared" ca="1" si="4"/>
        <v>🔴 En retard</v>
      </c>
      <c r="O115" s="60"/>
      <c r="P115" s="60"/>
      <c r="Q115" s="60"/>
      <c r="R115" s="60"/>
      <c r="S115" s="60"/>
      <c r="T115" s="56" t="str">
        <f t="shared" ca="1" si="5"/>
        <v>Organiser / régulariser</v>
      </c>
    </row>
    <row r="116" spans="3:20" ht="42" customHeight="1">
      <c r="C116" s="55" t="s">
        <v>148</v>
      </c>
      <c r="D116" s="55"/>
      <c r="E116" s="55"/>
      <c r="F116" s="56"/>
      <c r="G116" s="56"/>
      <c r="H116" s="55" t="s">
        <v>149</v>
      </c>
      <c r="I116" s="57">
        <v>45995</v>
      </c>
      <c r="J116" s="57"/>
      <c r="K116" s="57"/>
      <c r="L116" s="57">
        <v>46204</v>
      </c>
      <c r="M116" s="57"/>
      <c r="N116" s="60" t="str">
        <f t="shared" ca="1" si="4"/>
        <v>🔴 En retard</v>
      </c>
      <c r="O116" s="60"/>
      <c r="P116" s="60"/>
      <c r="Q116" s="60"/>
      <c r="R116" s="60"/>
      <c r="S116" s="60"/>
      <c r="T116" s="56" t="str">
        <f t="shared" ca="1" si="5"/>
        <v>Organiser / régulariser</v>
      </c>
    </row>
    <row r="117" spans="3:20" ht="42" customHeight="1">
      <c r="C117" s="55" t="s">
        <v>150</v>
      </c>
      <c r="D117" s="55"/>
      <c r="E117" s="55"/>
      <c r="F117" s="56"/>
      <c r="G117" s="56"/>
      <c r="H117" s="55" t="s">
        <v>151</v>
      </c>
      <c r="I117" s="57">
        <v>45995</v>
      </c>
      <c r="J117" s="57"/>
      <c r="K117" s="57"/>
      <c r="L117" s="57">
        <v>46204</v>
      </c>
      <c r="M117" s="57"/>
      <c r="N117" s="60" t="str">
        <f t="shared" ca="1" si="4"/>
        <v>🔴 En retard</v>
      </c>
      <c r="O117" s="60"/>
      <c r="P117" s="60"/>
      <c r="Q117" s="60"/>
      <c r="R117" s="60"/>
      <c r="S117" s="60"/>
      <c r="T117" s="56" t="str">
        <f t="shared" ca="1" si="5"/>
        <v>Organiser / régulariser</v>
      </c>
    </row>
    <row r="118" spans="3:20" ht="42" customHeight="1">
      <c r="C118" s="55" t="s">
        <v>152</v>
      </c>
      <c r="D118" s="55"/>
      <c r="E118" s="55"/>
      <c r="F118" s="56"/>
      <c r="G118" s="56"/>
      <c r="H118" s="55" t="s">
        <v>153</v>
      </c>
      <c r="I118" s="57">
        <v>45995</v>
      </c>
      <c r="J118" s="57"/>
      <c r="K118" s="57"/>
      <c r="L118" s="57">
        <v>46204</v>
      </c>
      <c r="M118" s="57"/>
      <c r="N118" s="60" t="str">
        <f t="shared" ca="1" si="4"/>
        <v>🔴 En retard</v>
      </c>
      <c r="O118" s="60"/>
      <c r="P118" s="60"/>
      <c r="Q118" s="60"/>
      <c r="R118" s="60"/>
      <c r="S118" s="60"/>
      <c r="T118" s="56" t="str">
        <f t="shared" ca="1" si="5"/>
        <v>Organiser / régulariser</v>
      </c>
    </row>
    <row r="119" spans="3:20" ht="42" customHeight="1">
      <c r="C119" s="55" t="s">
        <v>154</v>
      </c>
      <c r="D119" s="55"/>
      <c r="E119" s="55"/>
      <c r="F119" s="56"/>
      <c r="G119" s="56"/>
      <c r="H119" s="55" t="s">
        <v>155</v>
      </c>
      <c r="I119" s="57">
        <v>45995</v>
      </c>
      <c r="J119" s="57"/>
      <c r="K119" s="57"/>
      <c r="L119" s="57">
        <v>46204</v>
      </c>
      <c r="M119" s="57"/>
      <c r="N119" s="60" t="str">
        <f t="shared" ca="1" si="4"/>
        <v>🔴 En retard</v>
      </c>
      <c r="O119" s="60"/>
      <c r="P119" s="60"/>
      <c r="Q119" s="60"/>
      <c r="R119" s="60"/>
      <c r="S119" s="60"/>
      <c r="T119" s="56" t="str">
        <f t="shared" ca="1" si="5"/>
        <v>Organiser / régulariser</v>
      </c>
    </row>
    <row r="120" spans="3:20" ht="42" customHeight="1">
      <c r="C120" s="55" t="s">
        <v>156</v>
      </c>
      <c r="D120" s="55"/>
      <c r="E120" s="55"/>
      <c r="F120" s="56"/>
      <c r="G120" s="56"/>
      <c r="H120" s="55" t="s">
        <v>155</v>
      </c>
      <c r="I120" s="57">
        <v>45995</v>
      </c>
      <c r="J120" s="57"/>
      <c r="K120" s="57"/>
      <c r="L120" s="57">
        <v>46204</v>
      </c>
      <c r="M120" s="57"/>
      <c r="N120" s="60" t="str">
        <f t="shared" ca="1" si="4"/>
        <v>🔴 En retard</v>
      </c>
      <c r="O120" s="60"/>
      <c r="P120" s="60"/>
      <c r="Q120" s="60"/>
      <c r="R120" s="60"/>
      <c r="S120" s="60"/>
      <c r="T120" s="56" t="str">
        <f t="shared" ca="1" si="5"/>
        <v>Organiser / régulariser</v>
      </c>
    </row>
    <row r="121" spans="3:20" ht="42" customHeight="1">
      <c r="C121" s="55" t="s">
        <v>157</v>
      </c>
      <c r="D121" s="55"/>
      <c r="E121" s="55"/>
      <c r="F121" s="56"/>
      <c r="G121" s="56"/>
      <c r="H121" s="55" t="s">
        <v>145</v>
      </c>
      <c r="I121" s="57">
        <v>45608</v>
      </c>
      <c r="J121" s="57"/>
      <c r="K121" s="57"/>
      <c r="L121" s="57">
        <v>46266</v>
      </c>
      <c r="M121" s="57"/>
      <c r="N121" s="60" t="str">
        <f t="shared" ca="1" si="4"/>
        <v>🔴 En retard</v>
      </c>
      <c r="O121" s="60"/>
      <c r="P121" s="60"/>
      <c r="Q121" s="60"/>
      <c r="R121" s="60"/>
      <c r="S121" s="60"/>
      <c r="T121" s="56" t="str">
        <f t="shared" ca="1" si="5"/>
        <v>Organiser / régulariser</v>
      </c>
    </row>
    <row r="122" spans="3:20" ht="42" customHeight="1">
      <c r="C122" s="55" t="s">
        <v>158</v>
      </c>
      <c r="D122" s="55"/>
      <c r="E122" s="55"/>
      <c r="F122" s="56"/>
      <c r="G122" s="56"/>
      <c r="H122" s="55" t="s">
        <v>159</v>
      </c>
      <c r="I122" s="57" t="s">
        <v>160</v>
      </c>
      <c r="J122" s="57"/>
      <c r="K122" s="57"/>
      <c r="L122" s="57">
        <v>46268</v>
      </c>
      <c r="M122" s="57"/>
      <c r="N122" s="60" t="str">
        <f t="shared" ca="1" si="4"/>
        <v>🔴 En retard</v>
      </c>
      <c r="O122" s="60"/>
      <c r="P122" s="60"/>
      <c r="Q122" s="60"/>
      <c r="R122" s="60"/>
      <c r="S122" s="60"/>
      <c r="T122" s="56" t="str">
        <f t="shared" ca="1" si="5"/>
        <v>Organiser / régulariser</v>
      </c>
    </row>
    <row r="123" spans="3:20" ht="42" customHeight="1">
      <c r="C123" s="55" t="s">
        <v>161</v>
      </c>
      <c r="D123" s="55"/>
      <c r="E123" s="55"/>
      <c r="F123" s="56"/>
      <c r="G123" s="56"/>
      <c r="H123" s="55" t="s">
        <v>162</v>
      </c>
      <c r="I123" s="57" t="s">
        <v>160</v>
      </c>
      <c r="J123" s="57"/>
      <c r="K123" s="57"/>
      <c r="L123" s="57"/>
      <c r="M123" s="57"/>
      <c r="N123" s="60" t="str">
        <f t="shared" ca="1" si="4"/>
        <v>⚪ À surveiller</v>
      </c>
      <c r="O123" s="60"/>
      <c r="P123" s="60"/>
      <c r="Q123" s="60"/>
      <c r="R123" s="60"/>
      <c r="S123" s="60"/>
      <c r="T123" s="56" t="str">
        <f t="shared" ca="1" si="5"/>
        <v>Vérifier le déclencheur</v>
      </c>
    </row>
    <row r="124" spans="3:20" ht="42" customHeight="1">
      <c r="C124" s="55" t="s">
        <v>163</v>
      </c>
      <c r="D124" s="55"/>
      <c r="E124" s="55"/>
      <c r="F124" s="56"/>
      <c r="G124" s="56"/>
      <c r="H124" s="55" t="s">
        <v>164</v>
      </c>
      <c r="I124" s="57" t="s">
        <v>160</v>
      </c>
      <c r="J124" s="57"/>
      <c r="K124" s="57"/>
      <c r="L124" s="57"/>
      <c r="M124" s="57"/>
      <c r="N124" s="60" t="str">
        <f t="shared" ca="1" si="4"/>
        <v>⚪ À qualifier</v>
      </c>
      <c r="O124" s="60"/>
      <c r="P124" s="60"/>
      <c r="Q124" s="60"/>
      <c r="R124" s="60"/>
      <c r="S124" s="60"/>
      <c r="T124" s="56" t="str">
        <f t="shared" ca="1" si="5"/>
        <v>Aucune action immédiate</v>
      </c>
    </row>
    <row r="125" spans="3:20" ht="42" customHeight="1">
      <c r="C125" s="55" t="s">
        <v>165</v>
      </c>
      <c r="D125" s="55"/>
      <c r="E125" s="55"/>
      <c r="F125" s="56"/>
      <c r="G125" s="56"/>
      <c r="H125" s="55" t="s">
        <v>164</v>
      </c>
      <c r="I125" s="57">
        <v>46143</v>
      </c>
      <c r="J125" s="57"/>
      <c r="K125" s="57"/>
      <c r="L125" s="57" t="s">
        <v>166</v>
      </c>
      <c r="M125" s="57"/>
      <c r="N125" s="60" t="str">
        <f t="shared" ca="1" si="4"/>
        <v>⚪ À surveiller</v>
      </c>
      <c r="O125" s="60"/>
      <c r="P125" s="60"/>
      <c r="Q125" s="60"/>
      <c r="R125" s="60"/>
      <c r="S125" s="60"/>
      <c r="T125" s="56" t="str">
        <f t="shared" ca="1" si="5"/>
        <v>Vérifier le déclencheur</v>
      </c>
    </row>
    <row r="126" spans="3:20" ht="42" customHeight="1">
      <c r="C126" s="55" t="s">
        <v>167</v>
      </c>
      <c r="D126" s="55"/>
      <c r="E126" s="55"/>
      <c r="F126" s="56"/>
      <c r="G126" s="56"/>
      <c r="H126" s="55"/>
      <c r="I126" s="57">
        <v>45827</v>
      </c>
      <c r="J126" s="57"/>
      <c r="K126" s="57"/>
      <c r="L126" s="57">
        <v>46163</v>
      </c>
      <c r="M126" s="57"/>
      <c r="N126" s="60" t="str">
        <f t="shared" ca="1" si="4"/>
        <v>🔴 En retard</v>
      </c>
      <c r="O126" s="60"/>
      <c r="P126" s="60"/>
      <c r="Q126" s="60"/>
      <c r="R126" s="60"/>
      <c r="S126" s="60"/>
      <c r="T126" s="56" t="str">
        <f t="shared" ca="1" si="5"/>
        <v>Organiser / régulariser</v>
      </c>
    </row>
    <row r="127" spans="3:20" ht="42" customHeight="1">
      <c r="C127" s="55" t="s">
        <v>168</v>
      </c>
      <c r="D127" s="55"/>
      <c r="E127" s="55"/>
      <c r="F127" s="56"/>
      <c r="G127" s="56"/>
      <c r="H127" s="55" t="s">
        <v>169</v>
      </c>
      <c r="I127" s="57">
        <v>45636</v>
      </c>
      <c r="J127" s="57"/>
      <c r="K127" s="57"/>
      <c r="L127" s="57" t="s">
        <v>170</v>
      </c>
      <c r="M127" s="57"/>
      <c r="N127" s="60" t="str">
        <f t="shared" ca="1" si="4"/>
        <v>⚪ À surveiller</v>
      </c>
      <c r="O127" s="60"/>
      <c r="P127" s="60"/>
      <c r="Q127" s="60"/>
      <c r="R127" s="60"/>
      <c r="S127" s="60"/>
      <c r="T127" s="56" t="str">
        <f t="shared" ca="1" si="5"/>
        <v>Vérifier le déclencheur</v>
      </c>
    </row>
    <row r="128" spans="3:20" ht="42" customHeight="1">
      <c r="C128" s="55" t="s">
        <v>171</v>
      </c>
      <c r="D128" s="55"/>
      <c r="E128" s="55"/>
      <c r="F128" s="56"/>
      <c r="G128" s="56"/>
      <c r="H128" s="55" t="s">
        <v>169</v>
      </c>
      <c r="I128" s="57">
        <v>45636</v>
      </c>
      <c r="J128" s="57"/>
      <c r="K128" s="57"/>
      <c r="L128" s="57" t="s">
        <v>170</v>
      </c>
      <c r="M128" s="57"/>
      <c r="N128" s="60" t="str">
        <f t="shared" ca="1" si="4"/>
        <v>⚪ À surveiller</v>
      </c>
      <c r="O128" s="60"/>
      <c r="P128" s="60"/>
      <c r="Q128" s="60"/>
      <c r="R128" s="60"/>
      <c r="S128" s="60"/>
      <c r="T128" s="56" t="str">
        <f t="shared" ca="1" si="5"/>
        <v>Vérifier le déclencheur</v>
      </c>
    </row>
    <row r="129" spans="3:20" ht="42" customHeight="1">
      <c r="C129" s="55" t="s">
        <v>172</v>
      </c>
      <c r="D129" s="55"/>
      <c r="E129" s="55"/>
      <c r="F129" s="56"/>
      <c r="G129" s="56"/>
      <c r="H129" s="55" t="s">
        <v>173</v>
      </c>
      <c r="I129" s="57">
        <v>45636</v>
      </c>
      <c r="J129" s="57"/>
      <c r="K129" s="57"/>
      <c r="L129" s="57" t="s">
        <v>170</v>
      </c>
      <c r="M129" s="57"/>
      <c r="N129" s="60" t="str">
        <f t="shared" ca="1" si="4"/>
        <v>⚪ À surveiller</v>
      </c>
      <c r="O129" s="60"/>
      <c r="P129" s="60"/>
      <c r="Q129" s="60"/>
      <c r="R129" s="60"/>
      <c r="S129" s="60"/>
      <c r="T129" s="56" t="str">
        <f t="shared" ca="1" si="5"/>
        <v>Vérifier le déclencheur</v>
      </c>
    </row>
    <row r="130" spans="3:20" ht="42" customHeight="1">
      <c r="C130" s="55" t="s">
        <v>174</v>
      </c>
      <c r="D130" s="55"/>
      <c r="E130" s="55"/>
      <c r="F130" s="56"/>
      <c r="G130" s="56"/>
      <c r="H130" s="55" t="s">
        <v>175</v>
      </c>
      <c r="I130" s="57">
        <v>45636</v>
      </c>
      <c r="J130" s="57"/>
      <c r="K130" s="57"/>
      <c r="L130" s="57" t="s">
        <v>170</v>
      </c>
      <c r="M130" s="57"/>
      <c r="N130" s="60" t="str">
        <f t="shared" ca="1" si="4"/>
        <v>⚪ À surveiller</v>
      </c>
      <c r="O130" s="60"/>
      <c r="P130" s="60"/>
      <c r="Q130" s="60"/>
      <c r="R130" s="60"/>
      <c r="S130" s="60"/>
      <c r="T130" s="56" t="str">
        <f t="shared" ca="1" si="5"/>
        <v>Vérifier le déclencheur</v>
      </c>
    </row>
    <row r="131" spans="3:20" ht="42" customHeight="1">
      <c r="C131" s="55" t="s">
        <v>176</v>
      </c>
      <c r="D131" s="55"/>
      <c r="E131" s="55"/>
      <c r="F131" s="56"/>
      <c r="G131" s="56"/>
      <c r="H131" s="55" t="s">
        <v>175</v>
      </c>
      <c r="I131" s="57">
        <v>45636</v>
      </c>
      <c r="J131" s="57"/>
      <c r="K131" s="57"/>
      <c r="L131" s="57" t="s">
        <v>170</v>
      </c>
      <c r="M131" s="57"/>
      <c r="N131" s="60" t="str">
        <f t="shared" ca="1" si="4"/>
        <v>⚪ À surveiller</v>
      </c>
      <c r="O131" s="60"/>
      <c r="P131" s="60"/>
      <c r="Q131" s="60"/>
      <c r="R131" s="60"/>
      <c r="S131" s="60"/>
      <c r="T131" s="56" t="str">
        <f t="shared" ca="1" si="5"/>
        <v>Vérifier le déclencheur</v>
      </c>
    </row>
    <row r="132" spans="3:20" ht="42" customHeight="1">
      <c r="C132" s="55" t="s">
        <v>177</v>
      </c>
      <c r="D132" s="55"/>
      <c r="E132" s="55"/>
      <c r="F132" s="56"/>
      <c r="G132" s="56"/>
      <c r="H132" s="55" t="s">
        <v>178</v>
      </c>
      <c r="I132" s="57">
        <v>45561</v>
      </c>
      <c r="J132" s="57"/>
      <c r="K132" s="57"/>
      <c r="L132" s="57">
        <v>46295</v>
      </c>
      <c r="M132" s="57"/>
      <c r="N132" s="60" t="str">
        <f t="shared" ca="1" si="4"/>
        <v>🟠 À déclencher</v>
      </c>
      <c r="O132" s="60"/>
      <c r="P132" s="60"/>
      <c r="Q132" s="60"/>
      <c r="R132" s="60"/>
      <c r="S132" s="60"/>
      <c r="T132" s="56" t="str">
        <f t="shared" ca="1" si="5"/>
        <v>Préparer la convocation</v>
      </c>
    </row>
    <row r="133" spans="3:20" ht="42" customHeight="1">
      <c r="C133" s="55" t="s">
        <v>179</v>
      </c>
      <c r="D133" s="55"/>
      <c r="E133" s="55"/>
      <c r="F133" s="56"/>
      <c r="G133" s="56"/>
      <c r="H133" s="55" t="s">
        <v>180</v>
      </c>
      <c r="I133" s="57">
        <v>46114</v>
      </c>
      <c r="J133" s="57"/>
      <c r="K133" s="57"/>
      <c r="L133" s="57">
        <v>46295</v>
      </c>
      <c r="M133" s="57"/>
      <c r="N133" s="60" t="str">
        <f t="shared" ref="N133:N196" ca="1" si="6">IF(ISNUMBER(L133),IF(L133&lt;TODAY(),"🔴 En retard",IF(L133&lt;=TODAY()+30,"🟠 À déclencher",IF(L133&lt;=TODAY()+60,"🟡 À préparer","🟢 À jour"))),IF(L133&lt;&gt;"","⚪ À surveiller",IF(OR(ISNUMBER(SEARCH("besoin",H133)),ISNUMBER(SEARCH("الضرورة",H133))),"⚪ À surveiller","⚪ À qualifier")))</f>
        <v>🟠 À déclencher</v>
      </c>
      <c r="O133" s="60"/>
      <c r="P133" s="60"/>
      <c r="Q133" s="60"/>
      <c r="R133" s="60"/>
      <c r="S133" s="60"/>
      <c r="T133" s="56" t="str">
        <f t="shared" ref="T133:T196" ca="1" si="7">IF(N133="🔴 En retard","Organiser / régulariser",IF(N133="🟠 À déclencher","Préparer la convocation",IF(N133="🟡 À préparer","Anticiper avec le responsable",IF(N133="⚪ À surveiller","Vérifier le déclencheur","Aucune action immédiate"))))</f>
        <v>Préparer la convocation</v>
      </c>
    </row>
    <row r="134" spans="3:20" ht="42" customHeight="1">
      <c r="C134" s="55" t="s">
        <v>181</v>
      </c>
      <c r="D134" s="55"/>
      <c r="E134" s="55"/>
      <c r="F134" s="56"/>
      <c r="G134" s="56"/>
      <c r="H134" s="55" t="s">
        <v>182</v>
      </c>
      <c r="I134" s="57"/>
      <c r="J134" s="57"/>
      <c r="K134" s="57"/>
      <c r="L134" s="57" t="s">
        <v>183</v>
      </c>
      <c r="M134" s="57"/>
      <c r="N134" s="60" t="str">
        <f t="shared" ca="1" si="6"/>
        <v>⚪ À surveiller</v>
      </c>
      <c r="O134" s="60"/>
      <c r="P134" s="60"/>
      <c r="Q134" s="60"/>
      <c r="R134" s="60"/>
      <c r="S134" s="60"/>
      <c r="T134" s="56" t="str">
        <f t="shared" ca="1" si="7"/>
        <v>Vérifier le déclencheur</v>
      </c>
    </row>
    <row r="135" spans="3:20" ht="42" customHeight="1">
      <c r="C135" s="55" t="s">
        <v>184</v>
      </c>
      <c r="D135" s="55"/>
      <c r="E135" s="55"/>
      <c r="F135" s="56"/>
      <c r="G135" s="56"/>
      <c r="H135" s="55" t="s">
        <v>185</v>
      </c>
      <c r="I135" s="57">
        <v>46002</v>
      </c>
      <c r="J135" s="57"/>
      <c r="K135" s="57"/>
      <c r="L135" s="57" t="s">
        <v>186</v>
      </c>
      <c r="M135" s="57"/>
      <c r="N135" s="60" t="str">
        <f t="shared" ca="1" si="6"/>
        <v>⚪ À surveiller</v>
      </c>
      <c r="O135" s="60"/>
      <c r="P135" s="60"/>
      <c r="Q135" s="60"/>
      <c r="R135" s="60"/>
      <c r="S135" s="60"/>
      <c r="T135" s="56" t="str">
        <f t="shared" ca="1" si="7"/>
        <v>Vérifier le déclencheur</v>
      </c>
    </row>
    <row r="136" spans="3:20" ht="42" customHeight="1">
      <c r="C136" s="55" t="s">
        <v>187</v>
      </c>
      <c r="D136" s="55"/>
      <c r="E136" s="55"/>
      <c r="F136" s="56"/>
      <c r="G136" s="56"/>
      <c r="H136" s="55" t="s">
        <v>185</v>
      </c>
      <c r="I136" s="57">
        <v>45806</v>
      </c>
      <c r="J136" s="57"/>
      <c r="K136" s="57"/>
      <c r="L136" s="57" t="s">
        <v>188</v>
      </c>
      <c r="M136" s="57"/>
      <c r="N136" s="60" t="str">
        <f t="shared" ca="1" si="6"/>
        <v>⚪ À surveiller</v>
      </c>
      <c r="O136" s="60"/>
      <c r="P136" s="60"/>
      <c r="Q136" s="60"/>
      <c r="R136" s="60"/>
      <c r="S136" s="60"/>
      <c r="T136" s="56" t="str">
        <f t="shared" ca="1" si="7"/>
        <v>Vérifier le déclencheur</v>
      </c>
    </row>
    <row r="137" spans="3:20" ht="42" customHeight="1">
      <c r="C137" s="55" t="s">
        <v>189</v>
      </c>
      <c r="D137" s="55"/>
      <c r="E137" s="55"/>
      <c r="F137" s="56"/>
      <c r="G137" s="56"/>
      <c r="H137" s="55" t="s">
        <v>190</v>
      </c>
      <c r="I137" s="57">
        <v>45992</v>
      </c>
      <c r="J137" s="57"/>
      <c r="K137" s="57"/>
      <c r="L137" s="57" t="s">
        <v>191</v>
      </c>
      <c r="M137" s="57"/>
      <c r="N137" s="60" t="str">
        <f t="shared" ca="1" si="6"/>
        <v>⚪ À surveiller</v>
      </c>
      <c r="O137" s="60"/>
      <c r="P137" s="60"/>
      <c r="Q137" s="60"/>
      <c r="R137" s="60"/>
      <c r="S137" s="60"/>
      <c r="T137" s="56" t="str">
        <f t="shared" ca="1" si="7"/>
        <v>Vérifier le déclencheur</v>
      </c>
    </row>
    <row r="138" spans="3:20" ht="42" customHeight="1">
      <c r="C138" s="55" t="s">
        <v>192</v>
      </c>
      <c r="D138" s="55"/>
      <c r="E138" s="55"/>
      <c r="F138" s="56"/>
      <c r="G138" s="56"/>
      <c r="H138" s="55" t="s">
        <v>193</v>
      </c>
      <c r="I138" s="57"/>
      <c r="J138" s="57"/>
      <c r="K138" s="57"/>
      <c r="L138" s="57" t="s">
        <v>194</v>
      </c>
      <c r="M138" s="57"/>
      <c r="N138" s="60" t="str">
        <f t="shared" ca="1" si="6"/>
        <v>⚪ À surveiller</v>
      </c>
      <c r="O138" s="60"/>
      <c r="P138" s="60"/>
      <c r="Q138" s="60"/>
      <c r="R138" s="60"/>
      <c r="S138" s="60"/>
      <c r="T138" s="56" t="str">
        <f t="shared" ca="1" si="7"/>
        <v>Vérifier le déclencheur</v>
      </c>
    </row>
    <row r="139" spans="3:20" ht="42" customHeight="1">
      <c r="C139" s="55" t="s">
        <v>195</v>
      </c>
      <c r="D139" s="55"/>
      <c r="E139" s="55"/>
      <c r="F139" s="56"/>
      <c r="G139" s="56"/>
      <c r="H139" s="55"/>
      <c r="I139" s="57"/>
      <c r="J139" s="57"/>
      <c r="K139" s="57"/>
      <c r="L139" s="57" t="s">
        <v>196</v>
      </c>
      <c r="M139" s="57"/>
      <c r="N139" s="60" t="str">
        <f t="shared" ca="1" si="6"/>
        <v>⚪ À surveiller</v>
      </c>
      <c r="O139" s="60"/>
      <c r="P139" s="60"/>
      <c r="Q139" s="60"/>
      <c r="R139" s="60"/>
      <c r="S139" s="60"/>
      <c r="T139" s="56" t="str">
        <f t="shared" ca="1" si="7"/>
        <v>Vérifier le déclencheur</v>
      </c>
    </row>
    <row r="140" spans="3:20" ht="42" customHeight="1">
      <c r="C140" s="55" t="s">
        <v>197</v>
      </c>
      <c r="D140" s="55"/>
      <c r="E140" s="55"/>
      <c r="F140" s="56"/>
      <c r="G140" s="56"/>
      <c r="H140" s="55"/>
      <c r="I140" s="57"/>
      <c r="J140" s="57"/>
      <c r="K140" s="57"/>
      <c r="L140" s="57" t="s">
        <v>198</v>
      </c>
      <c r="M140" s="57"/>
      <c r="N140" s="60" t="str">
        <f t="shared" ca="1" si="6"/>
        <v>⚪ À surveiller</v>
      </c>
      <c r="O140" s="60"/>
      <c r="P140" s="60"/>
      <c r="Q140" s="60"/>
      <c r="R140" s="60"/>
      <c r="S140" s="60"/>
      <c r="T140" s="56" t="str">
        <f t="shared" ca="1" si="7"/>
        <v>Vérifier le déclencheur</v>
      </c>
    </row>
    <row r="141" spans="3:20" ht="42" customHeight="1">
      <c r="C141" s="55" t="s">
        <v>199</v>
      </c>
      <c r="D141" s="55"/>
      <c r="E141" s="55"/>
      <c r="F141" s="56"/>
      <c r="G141" s="56"/>
      <c r="H141" s="55" t="s">
        <v>200</v>
      </c>
      <c r="I141" s="57">
        <v>46012</v>
      </c>
      <c r="J141" s="57"/>
      <c r="K141" s="57"/>
      <c r="L141" s="57" t="s">
        <v>201</v>
      </c>
      <c r="M141" s="57"/>
      <c r="N141" s="60" t="str">
        <f t="shared" ca="1" si="6"/>
        <v>⚪ À surveiller</v>
      </c>
      <c r="O141" s="60"/>
      <c r="P141" s="60"/>
      <c r="Q141" s="60"/>
      <c r="R141" s="60"/>
      <c r="S141" s="60"/>
      <c r="T141" s="56" t="str">
        <f t="shared" ca="1" si="7"/>
        <v>Vérifier le déclencheur</v>
      </c>
    </row>
    <row r="142" spans="3:20" ht="42" customHeight="1">
      <c r="C142" s="55" t="s">
        <v>202</v>
      </c>
      <c r="D142" s="55"/>
      <c r="E142" s="55"/>
      <c r="F142" s="56"/>
      <c r="G142" s="56"/>
      <c r="H142" s="55" t="s">
        <v>203</v>
      </c>
      <c r="I142" s="57">
        <v>45689</v>
      </c>
      <c r="J142" s="57"/>
      <c r="K142" s="57"/>
      <c r="L142" s="57" t="s">
        <v>204</v>
      </c>
      <c r="M142" s="57"/>
      <c r="N142" s="60" t="str">
        <f t="shared" ca="1" si="6"/>
        <v>⚪ À surveiller</v>
      </c>
      <c r="O142" s="60"/>
      <c r="P142" s="60"/>
      <c r="Q142" s="60"/>
      <c r="R142" s="60"/>
      <c r="S142" s="60"/>
      <c r="T142" s="56" t="str">
        <f t="shared" ca="1" si="7"/>
        <v>Vérifier le déclencheur</v>
      </c>
    </row>
    <row r="143" spans="3:20" ht="42" customHeight="1">
      <c r="C143" s="55" t="s">
        <v>205</v>
      </c>
      <c r="D143" s="55"/>
      <c r="E143" s="55"/>
      <c r="F143" s="56"/>
      <c r="G143" s="56"/>
      <c r="H143" s="55" t="s">
        <v>206</v>
      </c>
      <c r="I143" s="57">
        <v>46113</v>
      </c>
      <c r="J143" s="57"/>
      <c r="K143" s="57"/>
      <c r="L143" s="57" t="s">
        <v>207</v>
      </c>
      <c r="M143" s="57"/>
      <c r="N143" s="60" t="str">
        <f t="shared" ca="1" si="6"/>
        <v>⚪ À surveiller</v>
      </c>
      <c r="O143" s="60"/>
      <c r="P143" s="60"/>
      <c r="Q143" s="60"/>
      <c r="R143" s="60"/>
      <c r="S143" s="60"/>
      <c r="T143" s="56" t="str">
        <f t="shared" ca="1" si="7"/>
        <v>Vérifier le déclencheur</v>
      </c>
    </row>
    <row r="144" spans="3:20" ht="42" customHeight="1">
      <c r="C144" s="55" t="s">
        <v>208</v>
      </c>
      <c r="D144" s="55"/>
      <c r="E144" s="55"/>
      <c r="F144" s="56"/>
      <c r="G144" s="56"/>
      <c r="H144" s="55" t="s">
        <v>15</v>
      </c>
      <c r="I144" s="57" t="s">
        <v>13</v>
      </c>
      <c r="J144" s="57"/>
      <c r="K144" s="57"/>
      <c r="L144" s="57"/>
      <c r="M144" s="57"/>
      <c r="N144" s="60" t="str">
        <f t="shared" ca="1" si="6"/>
        <v>⚪ À surveiller</v>
      </c>
      <c r="O144" s="60"/>
      <c r="P144" s="60"/>
      <c r="Q144" s="60"/>
      <c r="R144" s="60"/>
      <c r="S144" s="60"/>
      <c r="T144" s="56" t="str">
        <f t="shared" ca="1" si="7"/>
        <v>Vérifier le déclencheur</v>
      </c>
    </row>
    <row r="145" spans="3:20" ht="42" customHeight="1">
      <c r="C145" s="55" t="s">
        <v>209</v>
      </c>
      <c r="D145" s="55"/>
      <c r="E145" s="55"/>
      <c r="F145" s="56"/>
      <c r="G145" s="56"/>
      <c r="H145" s="55" t="s">
        <v>210</v>
      </c>
      <c r="I145" s="57">
        <v>46031</v>
      </c>
      <c r="J145" s="57"/>
      <c r="K145" s="57"/>
      <c r="L145" s="57">
        <v>46282</v>
      </c>
      <c r="M145" s="57"/>
      <c r="N145" s="60" t="str">
        <f t="shared" ca="1" si="6"/>
        <v>🔴 En retard</v>
      </c>
      <c r="O145" s="60"/>
      <c r="P145" s="60"/>
      <c r="Q145" s="60"/>
      <c r="R145" s="60"/>
      <c r="S145" s="60"/>
      <c r="T145" s="56" t="str">
        <f t="shared" ca="1" si="7"/>
        <v>Organiser / régulariser</v>
      </c>
    </row>
    <row r="146" spans="3:20" ht="42" customHeight="1">
      <c r="C146" s="55" t="s">
        <v>211</v>
      </c>
      <c r="D146" s="55"/>
      <c r="E146" s="55"/>
      <c r="F146" s="56"/>
      <c r="G146" s="56"/>
      <c r="H146" s="55" t="s">
        <v>210</v>
      </c>
      <c r="I146" s="57">
        <v>46031</v>
      </c>
      <c r="J146" s="57"/>
      <c r="K146" s="57"/>
      <c r="L146" s="57">
        <v>46282</v>
      </c>
      <c r="M146" s="57"/>
      <c r="N146" s="60" t="str">
        <f t="shared" ca="1" si="6"/>
        <v>🔴 En retard</v>
      </c>
      <c r="O146" s="60"/>
      <c r="P146" s="60"/>
      <c r="Q146" s="60"/>
      <c r="R146" s="60"/>
      <c r="S146" s="60"/>
      <c r="T146" s="56" t="str">
        <f t="shared" ca="1" si="7"/>
        <v>Organiser / régulariser</v>
      </c>
    </row>
    <row r="147" spans="3:20" ht="42" customHeight="1">
      <c r="C147" s="55" t="s">
        <v>212</v>
      </c>
      <c r="D147" s="55"/>
      <c r="E147" s="55"/>
      <c r="F147" s="56"/>
      <c r="G147" s="56"/>
      <c r="H147" s="55" t="s">
        <v>213</v>
      </c>
      <c r="I147" s="57"/>
      <c r="J147" s="57"/>
      <c r="K147" s="57"/>
      <c r="L147" s="57">
        <v>46281</v>
      </c>
      <c r="M147" s="57"/>
      <c r="N147" s="60" t="str">
        <f t="shared" ca="1" si="6"/>
        <v>🔴 En retard</v>
      </c>
      <c r="O147" s="60"/>
      <c r="P147" s="60"/>
      <c r="Q147" s="60"/>
      <c r="R147" s="60"/>
      <c r="S147" s="60"/>
      <c r="T147" s="56" t="str">
        <f t="shared" ca="1" si="7"/>
        <v>Organiser / régulariser</v>
      </c>
    </row>
    <row r="148" spans="3:20" ht="42" customHeight="1">
      <c r="C148" s="55" t="s">
        <v>214</v>
      </c>
      <c r="D148" s="55"/>
      <c r="E148" s="55"/>
      <c r="F148" s="56"/>
      <c r="G148" s="56"/>
      <c r="H148" s="55" t="s">
        <v>215</v>
      </c>
      <c r="I148" s="57">
        <v>46156</v>
      </c>
      <c r="J148" s="57"/>
      <c r="K148" s="57"/>
      <c r="L148" s="57">
        <v>46273</v>
      </c>
      <c r="M148" s="57"/>
      <c r="N148" s="60" t="str">
        <f t="shared" ca="1" si="6"/>
        <v>🔴 En retard</v>
      </c>
      <c r="O148" s="60"/>
      <c r="P148" s="60"/>
      <c r="Q148" s="60"/>
      <c r="R148" s="60"/>
      <c r="S148" s="60"/>
      <c r="T148" s="56" t="str">
        <f t="shared" ca="1" si="7"/>
        <v>Organiser / régulariser</v>
      </c>
    </row>
    <row r="149" spans="3:20" ht="42" customHeight="1">
      <c r="C149" s="55" t="s">
        <v>216</v>
      </c>
      <c r="D149" s="55"/>
      <c r="E149" s="55"/>
      <c r="F149" s="56"/>
      <c r="G149" s="56"/>
      <c r="H149" s="55" t="s">
        <v>217</v>
      </c>
      <c r="I149" s="57"/>
      <c r="J149" s="57"/>
      <c r="K149" s="57"/>
      <c r="L149" s="57" t="s">
        <v>204</v>
      </c>
      <c r="M149" s="57"/>
      <c r="N149" s="60" t="str">
        <f t="shared" ca="1" si="6"/>
        <v>⚪ À surveiller</v>
      </c>
      <c r="O149" s="60"/>
      <c r="P149" s="60"/>
      <c r="Q149" s="60"/>
      <c r="R149" s="60"/>
      <c r="S149" s="60"/>
      <c r="T149" s="56" t="str">
        <f t="shared" ca="1" si="7"/>
        <v>Vérifier le déclencheur</v>
      </c>
    </row>
    <row r="150" spans="3:20" ht="42" customHeight="1">
      <c r="C150" s="55" t="s">
        <v>218</v>
      </c>
      <c r="D150" s="55"/>
      <c r="E150" s="55"/>
      <c r="F150" s="56"/>
      <c r="G150" s="56"/>
      <c r="H150" s="55" t="s">
        <v>217</v>
      </c>
      <c r="I150" s="57"/>
      <c r="J150" s="57"/>
      <c r="K150" s="57"/>
      <c r="L150" s="57"/>
      <c r="M150" s="57"/>
      <c r="N150" s="60" t="str">
        <f t="shared" ca="1" si="6"/>
        <v>⚪ À surveiller</v>
      </c>
      <c r="O150" s="60"/>
      <c r="P150" s="60"/>
      <c r="Q150" s="60"/>
      <c r="R150" s="60"/>
      <c r="S150" s="60"/>
      <c r="T150" s="56" t="str">
        <f t="shared" ca="1" si="7"/>
        <v>Vérifier le déclencheur</v>
      </c>
    </row>
    <row r="151" spans="3:20" ht="42" customHeight="1">
      <c r="C151" s="55" t="s">
        <v>219</v>
      </c>
      <c r="D151" s="55"/>
      <c r="E151" s="55"/>
      <c r="F151" s="56"/>
      <c r="G151" s="56"/>
      <c r="H151" s="55" t="s">
        <v>217</v>
      </c>
      <c r="I151" s="57">
        <v>46097</v>
      </c>
      <c r="J151" s="57"/>
      <c r="K151" s="57"/>
      <c r="L151" s="57">
        <v>46281</v>
      </c>
      <c r="M151" s="57"/>
      <c r="N151" s="60" t="str">
        <f t="shared" ca="1" si="6"/>
        <v>🔴 En retard</v>
      </c>
      <c r="O151" s="60"/>
      <c r="P151" s="60"/>
      <c r="Q151" s="60"/>
      <c r="R151" s="60"/>
      <c r="S151" s="60"/>
      <c r="T151" s="56" t="str">
        <f t="shared" ca="1" si="7"/>
        <v>Organiser / régulariser</v>
      </c>
    </row>
    <row r="152" spans="3:20" ht="42" customHeight="1">
      <c r="C152" s="55" t="s">
        <v>220</v>
      </c>
      <c r="D152" s="55"/>
      <c r="E152" s="55"/>
      <c r="F152" s="56"/>
      <c r="G152" s="56"/>
      <c r="H152" s="55" t="s">
        <v>217</v>
      </c>
      <c r="I152" s="57" t="s">
        <v>13</v>
      </c>
      <c r="J152" s="57"/>
      <c r="K152" s="57"/>
      <c r="L152" s="57">
        <v>46211</v>
      </c>
      <c r="M152" s="57"/>
      <c r="N152" s="60" t="str">
        <f t="shared" ca="1" si="6"/>
        <v>🔴 En retard</v>
      </c>
      <c r="O152" s="60"/>
      <c r="P152" s="60"/>
      <c r="Q152" s="60"/>
      <c r="R152" s="60"/>
      <c r="S152" s="60"/>
      <c r="T152" s="56" t="str">
        <f t="shared" ca="1" si="7"/>
        <v>Organiser / régulariser</v>
      </c>
    </row>
    <row r="153" spans="3:20" ht="42" customHeight="1">
      <c r="C153" s="55" t="s">
        <v>221</v>
      </c>
      <c r="D153" s="55"/>
      <c r="E153" s="55"/>
      <c r="F153" s="56"/>
      <c r="G153" s="56"/>
      <c r="H153" s="55"/>
      <c r="I153" s="57"/>
      <c r="J153" s="57"/>
      <c r="K153" s="57"/>
      <c r="L153" s="57"/>
      <c r="M153" s="57"/>
      <c r="N153" s="60" t="str">
        <f t="shared" ca="1" si="6"/>
        <v>⚪ À qualifier</v>
      </c>
      <c r="O153" s="60"/>
      <c r="P153" s="60"/>
      <c r="Q153" s="60"/>
      <c r="R153" s="60"/>
      <c r="S153" s="60"/>
      <c r="T153" s="56" t="str">
        <f t="shared" ca="1" si="7"/>
        <v>Aucune action immédiate</v>
      </c>
    </row>
    <row r="154" spans="3:20" ht="42" customHeight="1">
      <c r="C154" s="55" t="s">
        <v>222</v>
      </c>
      <c r="D154" s="55"/>
      <c r="E154" s="55"/>
      <c r="F154" s="56"/>
      <c r="G154" s="56"/>
      <c r="H154" s="55"/>
      <c r="I154" s="57"/>
      <c r="J154" s="57"/>
      <c r="K154" s="57"/>
      <c r="L154" s="57"/>
      <c r="M154" s="57"/>
      <c r="N154" s="60" t="str">
        <f t="shared" ca="1" si="6"/>
        <v>⚪ À qualifier</v>
      </c>
      <c r="O154" s="60"/>
      <c r="P154" s="60"/>
      <c r="Q154" s="60"/>
      <c r="R154" s="60"/>
      <c r="S154" s="60"/>
      <c r="T154" s="56" t="str">
        <f t="shared" ca="1" si="7"/>
        <v>Aucune action immédiate</v>
      </c>
    </row>
    <row r="155" spans="3:20" ht="42" customHeight="1">
      <c r="C155" s="55" t="s">
        <v>223</v>
      </c>
      <c r="D155" s="55"/>
      <c r="E155" s="55"/>
      <c r="F155" s="56"/>
      <c r="G155" s="56"/>
      <c r="H155" s="55"/>
      <c r="I155" s="57"/>
      <c r="J155" s="57"/>
      <c r="K155" s="57"/>
      <c r="L155" s="57"/>
      <c r="M155" s="57"/>
      <c r="N155" s="60" t="str">
        <f t="shared" ca="1" si="6"/>
        <v>⚪ À qualifier</v>
      </c>
      <c r="O155" s="60"/>
      <c r="P155" s="60"/>
      <c r="Q155" s="60"/>
      <c r="R155" s="60"/>
      <c r="S155" s="60"/>
      <c r="T155" s="56" t="str">
        <f t="shared" ca="1" si="7"/>
        <v>Aucune action immédiate</v>
      </c>
    </row>
    <row r="156" spans="3:20" ht="42" customHeight="1">
      <c r="C156" s="55" t="s">
        <v>224</v>
      </c>
      <c r="D156" s="55"/>
      <c r="E156" s="55"/>
      <c r="F156" s="56"/>
      <c r="G156" s="56"/>
      <c r="H156" s="55"/>
      <c r="I156" s="57"/>
      <c r="J156" s="57"/>
      <c r="K156" s="57"/>
      <c r="L156" s="57"/>
      <c r="M156" s="57"/>
      <c r="N156" s="60" t="str">
        <f t="shared" ca="1" si="6"/>
        <v>⚪ À qualifier</v>
      </c>
      <c r="O156" s="60"/>
      <c r="P156" s="60"/>
      <c r="Q156" s="60"/>
      <c r="R156" s="60"/>
      <c r="S156" s="60"/>
      <c r="T156" s="56" t="str">
        <f t="shared" ca="1" si="7"/>
        <v>Aucune action immédiate</v>
      </c>
    </row>
    <row r="157" spans="3:20" ht="42" customHeight="1">
      <c r="C157" s="55" t="s">
        <v>225</v>
      </c>
      <c r="D157" s="55"/>
      <c r="E157" s="55"/>
      <c r="F157" s="56"/>
      <c r="G157" s="56"/>
      <c r="H157" s="55"/>
      <c r="I157" s="57"/>
      <c r="J157" s="57"/>
      <c r="K157" s="57"/>
      <c r="L157" s="57"/>
      <c r="M157" s="57"/>
      <c r="N157" s="60" t="str">
        <f t="shared" ca="1" si="6"/>
        <v>⚪ À qualifier</v>
      </c>
      <c r="O157" s="60"/>
      <c r="P157" s="60"/>
      <c r="Q157" s="60"/>
      <c r="R157" s="60"/>
      <c r="S157" s="60"/>
      <c r="T157" s="56" t="str">
        <f t="shared" ca="1" si="7"/>
        <v>Aucune action immédiate</v>
      </c>
    </row>
    <row r="158" spans="3:20" ht="42" customHeight="1">
      <c r="C158" s="55" t="s">
        <v>226</v>
      </c>
      <c r="D158" s="55"/>
      <c r="E158" s="55"/>
      <c r="F158" s="56"/>
      <c r="G158" s="56"/>
      <c r="H158" s="55" t="s">
        <v>13</v>
      </c>
      <c r="I158" s="57"/>
      <c r="J158" s="57"/>
      <c r="K158" s="57"/>
      <c r="L158" s="57"/>
      <c r="M158" s="57"/>
      <c r="N158" s="60" t="str">
        <f t="shared" ca="1" si="6"/>
        <v>⚪ À qualifier</v>
      </c>
      <c r="O158" s="60"/>
      <c r="P158" s="60"/>
      <c r="Q158" s="60"/>
      <c r="R158" s="60"/>
      <c r="S158" s="60"/>
      <c r="T158" s="56" t="str">
        <f t="shared" ca="1" si="7"/>
        <v>Aucune action immédiate</v>
      </c>
    </row>
    <row r="159" spans="3:20" ht="42" customHeight="1">
      <c r="C159" s="55" t="s">
        <v>227</v>
      </c>
      <c r="D159" s="55"/>
      <c r="E159" s="55"/>
      <c r="F159" s="56"/>
      <c r="G159" s="56"/>
      <c r="H159" s="55"/>
      <c r="I159" s="57" t="s">
        <v>13</v>
      </c>
      <c r="J159" s="57"/>
      <c r="K159" s="57"/>
      <c r="L159" s="57" t="s">
        <v>173</v>
      </c>
      <c r="M159" s="57"/>
      <c r="N159" s="60" t="str">
        <f t="shared" ca="1" si="6"/>
        <v>⚪ À surveiller</v>
      </c>
      <c r="O159" s="60"/>
      <c r="P159" s="60"/>
      <c r="Q159" s="60"/>
      <c r="R159" s="60"/>
      <c r="S159" s="60"/>
      <c r="T159" s="56" t="str">
        <f t="shared" ca="1" si="7"/>
        <v>Vérifier le déclencheur</v>
      </c>
    </row>
    <row r="160" spans="3:20" ht="42" customHeight="1">
      <c r="C160" s="55" t="s">
        <v>228</v>
      </c>
      <c r="D160" s="55"/>
      <c r="E160" s="55"/>
      <c r="F160" s="56"/>
      <c r="G160" s="56"/>
      <c r="H160" s="55" t="s">
        <v>229</v>
      </c>
      <c r="I160" s="57" t="s">
        <v>230</v>
      </c>
      <c r="J160" s="57"/>
      <c r="K160" s="57"/>
      <c r="L160" s="57" t="s">
        <v>173</v>
      </c>
      <c r="M160" s="57"/>
      <c r="N160" s="60" t="str">
        <f t="shared" ca="1" si="6"/>
        <v>⚪ À surveiller</v>
      </c>
      <c r="O160" s="60"/>
      <c r="P160" s="60"/>
      <c r="Q160" s="60"/>
      <c r="R160" s="60"/>
      <c r="S160" s="60"/>
      <c r="T160" s="56" t="str">
        <f t="shared" ca="1" si="7"/>
        <v>Vérifier le déclencheur</v>
      </c>
    </row>
    <row r="161" spans="3:20" ht="42" customHeight="1">
      <c r="C161" s="55" t="s">
        <v>231</v>
      </c>
      <c r="D161" s="55"/>
      <c r="E161" s="55"/>
      <c r="F161" s="56"/>
      <c r="G161" s="56"/>
      <c r="H161" s="55" t="s">
        <v>232</v>
      </c>
      <c r="I161" s="57" t="s">
        <v>233</v>
      </c>
      <c r="J161" s="57"/>
      <c r="K161" s="57"/>
      <c r="L161" s="57" t="s">
        <v>173</v>
      </c>
      <c r="M161" s="57"/>
      <c r="N161" s="60" t="str">
        <f t="shared" ca="1" si="6"/>
        <v>⚪ À surveiller</v>
      </c>
      <c r="O161" s="60"/>
      <c r="P161" s="60"/>
      <c r="Q161" s="60"/>
      <c r="R161" s="60"/>
      <c r="S161" s="60"/>
      <c r="T161" s="56" t="str">
        <f t="shared" ca="1" si="7"/>
        <v>Vérifier le déclencheur</v>
      </c>
    </row>
    <row r="162" spans="3:20" ht="42" customHeight="1">
      <c r="C162" s="55" t="s">
        <v>234</v>
      </c>
      <c r="D162" s="55"/>
      <c r="E162" s="55"/>
      <c r="F162" s="56"/>
      <c r="G162" s="56"/>
      <c r="H162" s="55" t="s">
        <v>229</v>
      </c>
      <c r="I162" s="57" t="s">
        <v>235</v>
      </c>
      <c r="J162" s="57"/>
      <c r="K162" s="57"/>
      <c r="L162" s="57" t="s">
        <v>173</v>
      </c>
      <c r="M162" s="57"/>
      <c r="N162" s="60" t="str">
        <f t="shared" ca="1" si="6"/>
        <v>⚪ À surveiller</v>
      </c>
      <c r="O162" s="60"/>
      <c r="P162" s="60"/>
      <c r="Q162" s="60"/>
      <c r="R162" s="60"/>
      <c r="S162" s="60"/>
      <c r="T162" s="56" t="str">
        <f t="shared" ca="1" si="7"/>
        <v>Vérifier le déclencheur</v>
      </c>
    </row>
    <row r="163" spans="3:20" ht="42" customHeight="1">
      <c r="C163" s="55" t="s">
        <v>236</v>
      </c>
      <c r="D163" s="55"/>
      <c r="E163" s="55"/>
      <c r="F163" s="56"/>
      <c r="G163" s="56"/>
      <c r="H163" s="55" t="s">
        <v>24</v>
      </c>
      <c r="I163" s="57">
        <v>46092</v>
      </c>
      <c r="J163" s="57"/>
      <c r="K163" s="57"/>
      <c r="L163" s="57" t="s">
        <v>173</v>
      </c>
      <c r="M163" s="57"/>
      <c r="N163" s="60" t="str">
        <f t="shared" ca="1" si="6"/>
        <v>⚪ À surveiller</v>
      </c>
      <c r="O163" s="60"/>
      <c r="P163" s="60"/>
      <c r="Q163" s="60"/>
      <c r="R163" s="60"/>
      <c r="S163" s="60"/>
      <c r="T163" s="56" t="str">
        <f t="shared" ca="1" si="7"/>
        <v>Vérifier le déclencheur</v>
      </c>
    </row>
    <row r="164" spans="3:20" ht="42" customHeight="1">
      <c r="C164" s="55" t="s">
        <v>237</v>
      </c>
      <c r="D164" s="55"/>
      <c r="E164" s="55"/>
      <c r="F164" s="56"/>
      <c r="G164" s="56"/>
      <c r="H164" s="55"/>
      <c r="I164" s="57">
        <v>45412</v>
      </c>
      <c r="J164" s="57"/>
      <c r="K164" s="57"/>
      <c r="L164" s="57" t="s">
        <v>173</v>
      </c>
      <c r="M164" s="57"/>
      <c r="N164" s="60" t="str">
        <f t="shared" ca="1" si="6"/>
        <v>⚪ À surveiller</v>
      </c>
      <c r="O164" s="60"/>
      <c r="P164" s="60"/>
      <c r="Q164" s="60"/>
      <c r="R164" s="60"/>
      <c r="S164" s="60"/>
      <c r="T164" s="56" t="str">
        <f t="shared" ca="1" si="7"/>
        <v>Vérifier le déclencheur</v>
      </c>
    </row>
    <row r="165" spans="3:20" ht="42" customHeight="1">
      <c r="C165" s="55" t="s">
        <v>238</v>
      </c>
      <c r="D165" s="55"/>
      <c r="E165" s="55"/>
      <c r="F165" s="56"/>
      <c r="G165" s="56"/>
      <c r="H165" s="55"/>
      <c r="I165" s="57">
        <v>45797</v>
      </c>
      <c r="J165" s="57"/>
      <c r="K165" s="57"/>
      <c r="L165" s="57" t="s">
        <v>173</v>
      </c>
      <c r="M165" s="57"/>
      <c r="N165" s="60" t="str">
        <f t="shared" ca="1" si="6"/>
        <v>⚪ À surveiller</v>
      </c>
      <c r="O165" s="60"/>
      <c r="P165" s="60"/>
      <c r="Q165" s="60"/>
      <c r="R165" s="60"/>
      <c r="S165" s="60"/>
      <c r="T165" s="56" t="str">
        <f t="shared" ca="1" si="7"/>
        <v>Vérifier le déclencheur</v>
      </c>
    </row>
    <row r="166" spans="3:20" ht="42" customHeight="1">
      <c r="C166" s="55" t="s">
        <v>239</v>
      </c>
      <c r="D166" s="55"/>
      <c r="E166" s="55"/>
      <c r="F166" s="56"/>
      <c r="G166" s="56"/>
      <c r="H166" s="55"/>
      <c r="I166" s="57">
        <v>46163</v>
      </c>
      <c r="J166" s="57"/>
      <c r="K166" s="57"/>
      <c r="L166" s="57" t="s">
        <v>173</v>
      </c>
      <c r="M166" s="57"/>
      <c r="N166" s="60" t="str">
        <f t="shared" ca="1" si="6"/>
        <v>⚪ À surveiller</v>
      </c>
      <c r="O166" s="60"/>
      <c r="P166" s="60"/>
      <c r="Q166" s="60"/>
      <c r="R166" s="60"/>
      <c r="S166" s="60"/>
      <c r="T166" s="56" t="str">
        <f t="shared" ca="1" si="7"/>
        <v>Vérifier le déclencheur</v>
      </c>
    </row>
    <row r="167" spans="3:20" ht="42" customHeight="1">
      <c r="C167" s="55" t="s">
        <v>240</v>
      </c>
      <c r="D167" s="55"/>
      <c r="E167" s="55"/>
      <c r="F167" s="56"/>
      <c r="G167" s="56"/>
      <c r="H167" s="55"/>
      <c r="I167" s="57" t="s">
        <v>13</v>
      </c>
      <c r="J167" s="57"/>
      <c r="K167" s="57"/>
      <c r="L167" s="57" t="s">
        <v>13</v>
      </c>
      <c r="M167" s="57"/>
      <c r="N167" s="60" t="str">
        <f t="shared" ca="1" si="6"/>
        <v>⚪ À surveiller</v>
      </c>
      <c r="O167" s="60"/>
      <c r="P167" s="60"/>
      <c r="Q167" s="60"/>
      <c r="R167" s="60"/>
      <c r="S167" s="60"/>
      <c r="T167" s="56" t="str">
        <f t="shared" ca="1" si="7"/>
        <v>Vérifier le déclencheur</v>
      </c>
    </row>
    <row r="168" spans="3:20" ht="42" customHeight="1">
      <c r="C168" s="55" t="s">
        <v>241</v>
      </c>
      <c r="D168" s="55"/>
      <c r="E168" s="55"/>
      <c r="F168" s="56"/>
      <c r="G168" s="56"/>
      <c r="H168" s="55"/>
      <c r="I168" s="57" t="s">
        <v>13</v>
      </c>
      <c r="J168" s="57"/>
      <c r="K168" s="57"/>
      <c r="L168" s="57" t="s">
        <v>13</v>
      </c>
      <c r="M168" s="57"/>
      <c r="N168" s="60" t="str">
        <f t="shared" ca="1" si="6"/>
        <v>⚪ À surveiller</v>
      </c>
      <c r="O168" s="60"/>
      <c r="P168" s="60"/>
      <c r="Q168" s="60"/>
      <c r="R168" s="60"/>
      <c r="S168" s="60"/>
      <c r="T168" s="56" t="str">
        <f t="shared" ca="1" si="7"/>
        <v>Vérifier le déclencheur</v>
      </c>
    </row>
    <row r="169" spans="3:20" ht="42" customHeight="1">
      <c r="C169" s="55" t="s">
        <v>242</v>
      </c>
      <c r="D169" s="55"/>
      <c r="E169" s="55"/>
      <c r="F169" s="56"/>
      <c r="G169" s="56"/>
      <c r="H169" s="55"/>
      <c r="I169" s="57" t="s">
        <v>13</v>
      </c>
      <c r="J169" s="57"/>
      <c r="K169" s="57"/>
      <c r="L169" s="57" t="s">
        <v>173</v>
      </c>
      <c r="M169" s="57"/>
      <c r="N169" s="60" t="str">
        <f t="shared" ca="1" si="6"/>
        <v>⚪ À surveiller</v>
      </c>
      <c r="O169" s="60"/>
      <c r="P169" s="60"/>
      <c r="Q169" s="60"/>
      <c r="R169" s="60"/>
      <c r="S169" s="60"/>
      <c r="T169" s="56" t="str">
        <f t="shared" ca="1" si="7"/>
        <v>Vérifier le déclencheur</v>
      </c>
    </row>
    <row r="170" spans="3:20" ht="42" customHeight="1">
      <c r="C170" s="55" t="s">
        <v>243</v>
      </c>
      <c r="D170" s="55"/>
      <c r="E170" s="55"/>
      <c r="F170" s="56"/>
      <c r="G170" s="56"/>
      <c r="H170" s="55"/>
      <c r="I170" s="57"/>
      <c r="J170" s="57"/>
      <c r="K170" s="57"/>
      <c r="L170" s="57" t="s">
        <v>173</v>
      </c>
      <c r="M170" s="57"/>
      <c r="N170" s="60" t="str">
        <f t="shared" ca="1" si="6"/>
        <v>⚪ À surveiller</v>
      </c>
      <c r="O170" s="60"/>
      <c r="P170" s="60"/>
      <c r="Q170" s="60"/>
      <c r="R170" s="60"/>
      <c r="S170" s="60"/>
      <c r="T170" s="56" t="str">
        <f t="shared" ca="1" si="7"/>
        <v>Vérifier le déclencheur</v>
      </c>
    </row>
    <row r="171" spans="3:20" ht="42" customHeight="1">
      <c r="C171" s="55" t="s">
        <v>244</v>
      </c>
      <c r="D171" s="55"/>
      <c r="E171" s="55"/>
      <c r="F171" s="56"/>
      <c r="G171" s="56"/>
      <c r="H171" s="55"/>
      <c r="I171" s="57"/>
      <c r="J171" s="57"/>
      <c r="K171" s="57"/>
      <c r="L171" s="57" t="s">
        <v>173</v>
      </c>
      <c r="M171" s="57"/>
      <c r="N171" s="60" t="str">
        <f t="shared" ca="1" si="6"/>
        <v>⚪ À surveiller</v>
      </c>
      <c r="O171" s="60"/>
      <c r="P171" s="60"/>
      <c r="Q171" s="60"/>
      <c r="R171" s="60"/>
      <c r="S171" s="60"/>
      <c r="T171" s="56" t="str">
        <f t="shared" ca="1" si="7"/>
        <v>Vérifier le déclencheur</v>
      </c>
    </row>
    <row r="172" spans="3:20" ht="42" customHeight="1">
      <c r="C172" s="55" t="s">
        <v>245</v>
      </c>
      <c r="D172" s="55"/>
      <c r="E172" s="55"/>
      <c r="F172" s="56"/>
      <c r="G172" s="56"/>
      <c r="H172" s="55"/>
      <c r="I172" s="57">
        <v>46092</v>
      </c>
      <c r="J172" s="57"/>
      <c r="K172" s="57"/>
      <c r="L172" s="57" t="s">
        <v>13</v>
      </c>
      <c r="M172" s="57"/>
      <c r="N172" s="60" t="str">
        <f t="shared" ca="1" si="6"/>
        <v>⚪ À surveiller</v>
      </c>
      <c r="O172" s="60"/>
      <c r="P172" s="60"/>
      <c r="Q172" s="60"/>
      <c r="R172" s="60"/>
      <c r="S172" s="60"/>
      <c r="T172" s="56" t="str">
        <f t="shared" ca="1" si="7"/>
        <v>Vérifier le déclencheur</v>
      </c>
    </row>
    <row r="173" spans="3:20" ht="42" customHeight="1">
      <c r="C173" s="55" t="s">
        <v>246</v>
      </c>
      <c r="D173" s="55"/>
      <c r="E173" s="55"/>
      <c r="F173" s="56"/>
      <c r="G173" s="56"/>
      <c r="H173" s="55"/>
      <c r="I173" s="57">
        <v>46092</v>
      </c>
      <c r="J173" s="57"/>
      <c r="K173" s="57"/>
      <c r="L173" s="57" t="s">
        <v>173</v>
      </c>
      <c r="M173" s="57"/>
      <c r="N173" s="60" t="str">
        <f t="shared" ca="1" si="6"/>
        <v>⚪ À surveiller</v>
      </c>
      <c r="O173" s="60"/>
      <c r="P173" s="60"/>
      <c r="Q173" s="60"/>
      <c r="R173" s="60"/>
      <c r="S173" s="60"/>
      <c r="T173" s="56" t="str">
        <f t="shared" ca="1" si="7"/>
        <v>Vérifier le déclencheur</v>
      </c>
    </row>
    <row r="174" spans="3:20" ht="42" customHeight="1">
      <c r="C174" s="55" t="s">
        <v>247</v>
      </c>
      <c r="D174" s="55"/>
      <c r="E174" s="55"/>
      <c r="F174" s="56"/>
      <c r="G174" s="56"/>
      <c r="H174" s="55"/>
      <c r="I174" s="57">
        <v>46092</v>
      </c>
      <c r="J174" s="57"/>
      <c r="K174" s="57"/>
      <c r="L174" s="57" t="s">
        <v>173</v>
      </c>
      <c r="M174" s="57"/>
      <c r="N174" s="60" t="str">
        <f t="shared" ca="1" si="6"/>
        <v>⚪ À surveiller</v>
      </c>
      <c r="O174" s="60"/>
      <c r="P174" s="60"/>
      <c r="Q174" s="60"/>
      <c r="R174" s="60"/>
      <c r="S174" s="60"/>
      <c r="T174" s="56" t="str">
        <f t="shared" ca="1" si="7"/>
        <v>Vérifier le déclencheur</v>
      </c>
    </row>
    <row r="175" spans="3:20" ht="42" customHeight="1">
      <c r="C175" s="55" t="s">
        <v>248</v>
      </c>
      <c r="D175" s="55"/>
      <c r="E175" s="55"/>
      <c r="F175" s="56"/>
      <c r="G175" s="56"/>
      <c r="H175" s="55"/>
      <c r="I175" s="57" t="s">
        <v>249</v>
      </c>
      <c r="J175" s="57"/>
      <c r="K175" s="57"/>
      <c r="L175" s="57" t="s">
        <v>173</v>
      </c>
      <c r="M175" s="57"/>
      <c r="N175" s="60" t="str">
        <f t="shared" ca="1" si="6"/>
        <v>⚪ À surveiller</v>
      </c>
      <c r="O175" s="60"/>
      <c r="P175" s="60"/>
      <c r="Q175" s="60"/>
      <c r="R175" s="60"/>
      <c r="S175" s="60"/>
      <c r="T175" s="56" t="str">
        <f t="shared" ca="1" si="7"/>
        <v>Vérifier le déclencheur</v>
      </c>
    </row>
    <row r="176" spans="3:20" ht="42" customHeight="1">
      <c r="C176" s="55" t="s">
        <v>250</v>
      </c>
      <c r="D176" s="55"/>
      <c r="E176" s="55"/>
      <c r="F176" s="56"/>
      <c r="G176" s="56"/>
      <c r="H176" s="55"/>
      <c r="I176" s="57" t="s">
        <v>249</v>
      </c>
      <c r="J176" s="57"/>
      <c r="K176" s="57"/>
      <c r="L176" s="57" t="s">
        <v>173</v>
      </c>
      <c r="M176" s="57"/>
      <c r="N176" s="60" t="str">
        <f t="shared" ca="1" si="6"/>
        <v>⚪ À surveiller</v>
      </c>
      <c r="O176" s="60"/>
      <c r="P176" s="60"/>
      <c r="Q176" s="60"/>
      <c r="R176" s="60"/>
      <c r="S176" s="60"/>
      <c r="T176" s="56" t="str">
        <f t="shared" ca="1" si="7"/>
        <v>Vérifier le déclencheur</v>
      </c>
    </row>
    <row r="177" spans="3:20" ht="42" customHeight="1">
      <c r="C177" s="55" t="s">
        <v>251</v>
      </c>
      <c r="D177" s="55"/>
      <c r="E177" s="55"/>
      <c r="F177" s="56"/>
      <c r="G177" s="56"/>
      <c r="H177" s="55"/>
      <c r="I177" s="57" t="s">
        <v>249</v>
      </c>
      <c r="J177" s="57"/>
      <c r="K177" s="57"/>
      <c r="L177" s="57" t="s">
        <v>13</v>
      </c>
      <c r="M177" s="57"/>
      <c r="N177" s="60" t="str">
        <f t="shared" ca="1" si="6"/>
        <v>⚪ À surveiller</v>
      </c>
      <c r="O177" s="60"/>
      <c r="P177" s="60"/>
      <c r="Q177" s="60"/>
      <c r="R177" s="60"/>
      <c r="S177" s="60"/>
      <c r="T177" s="56" t="str">
        <f t="shared" ca="1" si="7"/>
        <v>Vérifier le déclencheur</v>
      </c>
    </row>
    <row r="178" spans="3:20" ht="42" customHeight="1">
      <c r="C178" s="55" t="s">
        <v>252</v>
      </c>
      <c r="D178" s="55"/>
      <c r="E178" s="55"/>
      <c r="F178" s="56"/>
      <c r="G178" s="56"/>
      <c r="H178" s="55"/>
      <c r="I178" s="57" t="s">
        <v>249</v>
      </c>
      <c r="J178" s="57"/>
      <c r="K178" s="57"/>
      <c r="L178" s="57" t="s">
        <v>173</v>
      </c>
      <c r="M178" s="57"/>
      <c r="N178" s="60" t="str">
        <f t="shared" ca="1" si="6"/>
        <v>⚪ À surveiller</v>
      </c>
      <c r="O178" s="60"/>
      <c r="P178" s="60"/>
      <c r="Q178" s="60"/>
      <c r="R178" s="60"/>
      <c r="S178" s="60"/>
      <c r="T178" s="56" t="str">
        <f t="shared" ca="1" si="7"/>
        <v>Vérifier le déclencheur</v>
      </c>
    </row>
    <row r="179" spans="3:20" ht="42" customHeight="1">
      <c r="C179" s="55" t="s">
        <v>253</v>
      </c>
      <c r="D179" s="55"/>
      <c r="E179" s="55"/>
      <c r="F179" s="56"/>
      <c r="G179" s="56"/>
      <c r="H179" s="55"/>
      <c r="I179" s="57">
        <v>46092</v>
      </c>
      <c r="J179" s="57"/>
      <c r="K179" s="57"/>
      <c r="L179" s="57" t="s">
        <v>13</v>
      </c>
      <c r="M179" s="57"/>
      <c r="N179" s="60" t="str">
        <f t="shared" ca="1" si="6"/>
        <v>⚪ À surveiller</v>
      </c>
      <c r="O179" s="60"/>
      <c r="P179" s="60"/>
      <c r="Q179" s="60"/>
      <c r="R179" s="60"/>
      <c r="S179" s="60"/>
      <c r="T179" s="56" t="str">
        <f t="shared" ca="1" si="7"/>
        <v>Vérifier le déclencheur</v>
      </c>
    </row>
    <row r="180" spans="3:20" ht="42" customHeight="1">
      <c r="C180" s="55" t="s">
        <v>254</v>
      </c>
      <c r="D180" s="55"/>
      <c r="E180" s="55"/>
      <c r="F180" s="56"/>
      <c r="G180" s="56"/>
      <c r="H180" s="55"/>
      <c r="I180" s="57">
        <v>46163</v>
      </c>
      <c r="J180" s="57"/>
      <c r="K180" s="57"/>
      <c r="L180" s="57" t="s">
        <v>173</v>
      </c>
      <c r="M180" s="57"/>
      <c r="N180" s="60" t="str">
        <f t="shared" ca="1" si="6"/>
        <v>⚪ À surveiller</v>
      </c>
      <c r="O180" s="60"/>
      <c r="P180" s="60"/>
      <c r="Q180" s="60"/>
      <c r="R180" s="60"/>
      <c r="S180" s="60"/>
      <c r="T180" s="56" t="str">
        <f t="shared" ca="1" si="7"/>
        <v>Vérifier le déclencheur</v>
      </c>
    </row>
    <row r="181" spans="3:20" ht="42" customHeight="1">
      <c r="C181" s="55" t="s">
        <v>255</v>
      </c>
      <c r="D181" s="55"/>
      <c r="E181" s="55"/>
      <c r="F181" s="56"/>
      <c r="G181" s="56"/>
      <c r="H181" s="55"/>
      <c r="I181" s="57">
        <v>46163</v>
      </c>
      <c r="J181" s="57"/>
      <c r="K181" s="57"/>
      <c r="L181" s="57" t="s">
        <v>173</v>
      </c>
      <c r="M181" s="57"/>
      <c r="N181" s="60" t="str">
        <f t="shared" ca="1" si="6"/>
        <v>⚪ À surveiller</v>
      </c>
      <c r="O181" s="60"/>
      <c r="P181" s="60"/>
      <c r="Q181" s="60"/>
      <c r="R181" s="60"/>
      <c r="S181" s="60"/>
      <c r="T181" s="56" t="str">
        <f t="shared" ca="1" si="7"/>
        <v>Vérifier le déclencheur</v>
      </c>
    </row>
    <row r="182" spans="3:20" ht="42" customHeight="1">
      <c r="C182" s="55" t="s">
        <v>256</v>
      </c>
      <c r="D182" s="55"/>
      <c r="E182" s="55"/>
      <c r="F182" s="56"/>
      <c r="G182" s="56"/>
      <c r="H182" s="55"/>
      <c r="I182" s="57"/>
      <c r="J182" s="57"/>
      <c r="K182" s="57"/>
      <c r="L182" s="57" t="s">
        <v>173</v>
      </c>
      <c r="M182" s="57"/>
      <c r="N182" s="60" t="str">
        <f t="shared" ca="1" si="6"/>
        <v>⚪ À surveiller</v>
      </c>
      <c r="O182" s="60"/>
      <c r="P182" s="60"/>
      <c r="Q182" s="60"/>
      <c r="R182" s="60"/>
      <c r="S182" s="60"/>
      <c r="T182" s="56" t="str">
        <f t="shared" ca="1" si="7"/>
        <v>Vérifier le déclencheur</v>
      </c>
    </row>
    <row r="183" spans="3:20" ht="42" customHeight="1">
      <c r="C183" s="55" t="s">
        <v>257</v>
      </c>
      <c r="D183" s="55"/>
      <c r="E183" s="55"/>
      <c r="F183" s="56"/>
      <c r="G183" s="56"/>
      <c r="H183" s="55"/>
      <c r="I183" s="57" t="s">
        <v>13</v>
      </c>
      <c r="J183" s="57"/>
      <c r="K183" s="57"/>
      <c r="L183" s="57" t="s">
        <v>173</v>
      </c>
      <c r="M183" s="57"/>
      <c r="N183" s="60" t="str">
        <f t="shared" ca="1" si="6"/>
        <v>⚪ À surveiller</v>
      </c>
      <c r="O183" s="60"/>
      <c r="P183" s="60"/>
      <c r="Q183" s="60"/>
      <c r="R183" s="60"/>
      <c r="S183" s="60"/>
      <c r="T183" s="56" t="str">
        <f t="shared" ca="1" si="7"/>
        <v>Vérifier le déclencheur</v>
      </c>
    </row>
    <row r="184" spans="3:20" ht="42" customHeight="1">
      <c r="C184" s="55" t="s">
        <v>258</v>
      </c>
      <c r="D184" s="55"/>
      <c r="E184" s="55"/>
      <c r="F184" s="56"/>
      <c r="G184" s="56"/>
      <c r="H184" s="55"/>
      <c r="I184" s="57"/>
      <c r="J184" s="57"/>
      <c r="K184" s="57"/>
      <c r="L184" s="57" t="s">
        <v>173</v>
      </c>
      <c r="M184" s="57"/>
      <c r="N184" s="60" t="str">
        <f t="shared" ca="1" si="6"/>
        <v>⚪ À surveiller</v>
      </c>
      <c r="O184" s="60"/>
      <c r="P184" s="60"/>
      <c r="Q184" s="60"/>
      <c r="R184" s="60"/>
      <c r="S184" s="60"/>
      <c r="T184" s="56" t="str">
        <f t="shared" ca="1" si="7"/>
        <v>Vérifier le déclencheur</v>
      </c>
    </row>
    <row r="185" spans="3:20" ht="42" customHeight="1">
      <c r="C185" s="55" t="s">
        <v>259</v>
      </c>
      <c r="D185" s="55"/>
      <c r="E185" s="55"/>
      <c r="F185" s="56"/>
      <c r="G185" s="56"/>
      <c r="H185" s="55"/>
      <c r="I185" s="57"/>
      <c r="J185" s="57"/>
      <c r="K185" s="57"/>
      <c r="L185" s="57" t="s">
        <v>173</v>
      </c>
      <c r="M185" s="57"/>
      <c r="N185" s="60" t="str">
        <f t="shared" ca="1" si="6"/>
        <v>⚪ À surveiller</v>
      </c>
      <c r="O185" s="60"/>
      <c r="P185" s="60"/>
      <c r="Q185" s="60"/>
      <c r="R185" s="60"/>
      <c r="S185" s="60"/>
      <c r="T185" s="56" t="str">
        <f t="shared" ca="1" si="7"/>
        <v>Vérifier le déclencheur</v>
      </c>
    </row>
    <row r="186" spans="3:20" ht="42" customHeight="1">
      <c r="C186" s="55" t="s">
        <v>260</v>
      </c>
      <c r="D186" s="55"/>
      <c r="E186" s="55"/>
      <c r="F186" s="56"/>
      <c r="G186" s="56"/>
      <c r="H186" s="55"/>
      <c r="I186" s="57" t="s">
        <v>261</v>
      </c>
      <c r="J186" s="57"/>
      <c r="K186" s="57"/>
      <c r="L186" s="57" t="s">
        <v>173</v>
      </c>
      <c r="M186" s="57"/>
      <c r="N186" s="60" t="str">
        <f t="shared" ca="1" si="6"/>
        <v>⚪ À surveiller</v>
      </c>
      <c r="O186" s="60"/>
      <c r="P186" s="60"/>
      <c r="Q186" s="60"/>
      <c r="R186" s="60"/>
      <c r="S186" s="60"/>
      <c r="T186" s="56" t="str">
        <f t="shared" ca="1" si="7"/>
        <v>Vérifier le déclencheur</v>
      </c>
    </row>
    <row r="187" spans="3:20" ht="42" customHeight="1">
      <c r="C187" s="55" t="s">
        <v>262</v>
      </c>
      <c r="D187" s="55"/>
      <c r="E187" s="55"/>
      <c r="F187" s="56"/>
      <c r="G187" s="56"/>
      <c r="H187" s="55"/>
      <c r="I187" s="57" t="s">
        <v>261</v>
      </c>
      <c r="J187" s="57"/>
      <c r="K187" s="57"/>
      <c r="L187" s="57" t="s">
        <v>173</v>
      </c>
      <c r="M187" s="57"/>
      <c r="N187" s="60" t="str">
        <f t="shared" ca="1" si="6"/>
        <v>⚪ À surveiller</v>
      </c>
      <c r="O187" s="60"/>
      <c r="P187" s="60"/>
      <c r="Q187" s="60"/>
      <c r="R187" s="60"/>
      <c r="S187" s="60"/>
      <c r="T187" s="56" t="str">
        <f t="shared" ca="1" si="7"/>
        <v>Vérifier le déclencheur</v>
      </c>
    </row>
    <row r="188" spans="3:20" ht="42" customHeight="1">
      <c r="C188" s="55" t="s">
        <v>263</v>
      </c>
      <c r="D188" s="55"/>
      <c r="E188" s="55"/>
      <c r="F188" s="56"/>
      <c r="G188" s="56"/>
      <c r="H188" s="55"/>
      <c r="I188" s="57" t="s">
        <v>264</v>
      </c>
      <c r="J188" s="57"/>
      <c r="K188" s="57"/>
      <c r="L188" s="57" t="s">
        <v>173</v>
      </c>
      <c r="M188" s="57"/>
      <c r="N188" s="60" t="str">
        <f t="shared" ca="1" si="6"/>
        <v>⚪ À surveiller</v>
      </c>
      <c r="O188" s="60"/>
      <c r="P188" s="60"/>
      <c r="Q188" s="60"/>
      <c r="R188" s="60"/>
      <c r="S188" s="60"/>
      <c r="T188" s="56" t="str">
        <f t="shared" ca="1" si="7"/>
        <v>Vérifier le déclencheur</v>
      </c>
    </row>
    <row r="189" spans="3:20" ht="42" customHeight="1">
      <c r="C189" s="55" t="s">
        <v>265</v>
      </c>
      <c r="D189" s="55"/>
      <c r="E189" s="55"/>
      <c r="F189" s="56"/>
      <c r="G189" s="56"/>
      <c r="H189" s="55"/>
      <c r="I189" s="57">
        <v>46163</v>
      </c>
      <c r="J189" s="57"/>
      <c r="K189" s="57"/>
      <c r="L189" s="57" t="s">
        <v>173</v>
      </c>
      <c r="M189" s="57"/>
      <c r="N189" s="60" t="str">
        <f t="shared" ca="1" si="6"/>
        <v>⚪ À surveiller</v>
      </c>
      <c r="O189" s="60"/>
      <c r="P189" s="60"/>
      <c r="Q189" s="60"/>
      <c r="R189" s="60"/>
      <c r="S189" s="60"/>
      <c r="T189" s="56" t="str">
        <f t="shared" ca="1" si="7"/>
        <v>Vérifier le déclencheur</v>
      </c>
    </row>
    <row r="190" spans="3:20" ht="42" customHeight="1">
      <c r="C190" s="55" t="s">
        <v>266</v>
      </c>
      <c r="D190" s="55"/>
      <c r="E190" s="55"/>
      <c r="F190" s="56"/>
      <c r="G190" s="56"/>
      <c r="H190" s="55"/>
      <c r="I190" s="57">
        <v>46163</v>
      </c>
      <c r="J190" s="57"/>
      <c r="K190" s="57"/>
      <c r="L190" s="57" t="s">
        <v>173</v>
      </c>
      <c r="M190" s="57"/>
      <c r="N190" s="60" t="str">
        <f t="shared" ca="1" si="6"/>
        <v>⚪ À surveiller</v>
      </c>
      <c r="O190" s="60"/>
      <c r="P190" s="60"/>
      <c r="Q190" s="60"/>
      <c r="R190" s="60"/>
      <c r="S190" s="60"/>
      <c r="T190" s="56" t="str">
        <f t="shared" ca="1" si="7"/>
        <v>Vérifier le déclencheur</v>
      </c>
    </row>
    <row r="191" spans="3:20" ht="42" customHeight="1">
      <c r="C191" s="55" t="s">
        <v>267</v>
      </c>
      <c r="D191" s="55"/>
      <c r="E191" s="55"/>
      <c r="F191" s="56"/>
      <c r="G191" s="56"/>
      <c r="H191" s="55"/>
      <c r="I191" s="57">
        <v>46163</v>
      </c>
      <c r="J191" s="57"/>
      <c r="K191" s="57"/>
      <c r="L191" s="57" t="s">
        <v>173</v>
      </c>
      <c r="M191" s="57"/>
      <c r="N191" s="60" t="str">
        <f t="shared" ca="1" si="6"/>
        <v>⚪ À surveiller</v>
      </c>
      <c r="O191" s="60"/>
      <c r="P191" s="60"/>
      <c r="Q191" s="60"/>
      <c r="R191" s="60"/>
      <c r="S191" s="60"/>
      <c r="T191" s="56" t="str">
        <f t="shared" ca="1" si="7"/>
        <v>Vérifier le déclencheur</v>
      </c>
    </row>
    <row r="192" spans="3:20" ht="42" customHeight="1">
      <c r="C192" s="55" t="s">
        <v>268</v>
      </c>
      <c r="D192" s="55"/>
      <c r="E192" s="55"/>
      <c r="F192" s="56"/>
      <c r="G192" s="56"/>
      <c r="H192" s="55"/>
      <c r="I192" s="57">
        <v>46163</v>
      </c>
      <c r="J192" s="57"/>
      <c r="K192" s="57"/>
      <c r="L192" s="57" t="s">
        <v>173</v>
      </c>
      <c r="M192" s="57"/>
      <c r="N192" s="60" t="str">
        <f t="shared" ca="1" si="6"/>
        <v>⚪ À surveiller</v>
      </c>
      <c r="O192" s="60"/>
      <c r="P192" s="60"/>
      <c r="Q192" s="60"/>
      <c r="R192" s="60"/>
      <c r="S192" s="60"/>
      <c r="T192" s="56" t="str">
        <f t="shared" ca="1" si="7"/>
        <v>Vérifier le déclencheur</v>
      </c>
    </row>
    <row r="193" spans="3:20" ht="42" customHeight="1">
      <c r="C193" s="55" t="s">
        <v>269</v>
      </c>
      <c r="D193" s="55"/>
      <c r="E193" s="55"/>
      <c r="F193" s="56"/>
      <c r="G193" s="56"/>
      <c r="H193" s="55"/>
      <c r="I193" s="57"/>
      <c r="J193" s="57"/>
      <c r="K193" s="57"/>
      <c r="L193" s="57"/>
      <c r="M193" s="57"/>
      <c r="N193" s="60" t="str">
        <f t="shared" ca="1" si="6"/>
        <v>⚪ À qualifier</v>
      </c>
      <c r="O193" s="60"/>
      <c r="P193" s="60"/>
      <c r="Q193" s="60"/>
      <c r="R193" s="60"/>
      <c r="S193" s="60"/>
      <c r="T193" s="56" t="str">
        <f t="shared" ca="1" si="7"/>
        <v>Aucune action immédiate</v>
      </c>
    </row>
    <row r="194" spans="3:20" ht="42" customHeight="1">
      <c r="C194" s="55" t="s">
        <v>270</v>
      </c>
      <c r="D194" s="55"/>
      <c r="E194" s="55"/>
      <c r="F194" s="56"/>
      <c r="G194" s="56"/>
      <c r="H194" s="55"/>
      <c r="I194" s="57"/>
      <c r="J194" s="57"/>
      <c r="K194" s="57"/>
      <c r="L194" s="57"/>
      <c r="M194" s="57"/>
      <c r="N194" s="60" t="str">
        <f t="shared" ca="1" si="6"/>
        <v>⚪ À qualifier</v>
      </c>
      <c r="O194" s="60"/>
      <c r="P194" s="60"/>
      <c r="Q194" s="60"/>
      <c r="R194" s="60"/>
      <c r="S194" s="60"/>
      <c r="T194" s="56" t="str">
        <f t="shared" ca="1" si="7"/>
        <v>Aucune action immédiate</v>
      </c>
    </row>
    <row r="195" spans="3:20" ht="42" customHeight="1">
      <c r="C195" s="55" t="s">
        <v>271</v>
      </c>
      <c r="D195" s="55"/>
      <c r="E195" s="55"/>
      <c r="F195" s="56"/>
      <c r="G195" s="56"/>
      <c r="H195" s="55"/>
      <c r="I195" s="57"/>
      <c r="J195" s="57"/>
      <c r="K195" s="57"/>
      <c r="L195" s="57"/>
      <c r="M195" s="57"/>
      <c r="N195" s="60" t="str">
        <f t="shared" ca="1" si="6"/>
        <v>⚪ À qualifier</v>
      </c>
      <c r="O195" s="60"/>
      <c r="P195" s="60"/>
      <c r="Q195" s="60"/>
      <c r="R195" s="60"/>
      <c r="S195" s="60"/>
      <c r="T195" s="56" t="str">
        <f t="shared" ca="1" si="7"/>
        <v>Aucune action immédiate</v>
      </c>
    </row>
    <row r="196" spans="3:20" ht="42" customHeight="1">
      <c r="C196" s="55" t="s">
        <v>272</v>
      </c>
      <c r="D196" s="55"/>
      <c r="E196" s="55"/>
      <c r="F196" s="56"/>
      <c r="G196" s="56"/>
      <c r="H196" s="55"/>
      <c r="I196" s="57"/>
      <c r="J196" s="57"/>
      <c r="K196" s="57"/>
      <c r="L196" s="57"/>
      <c r="M196" s="57"/>
      <c r="N196" s="60" t="str">
        <f t="shared" ca="1" si="6"/>
        <v>⚪ À qualifier</v>
      </c>
      <c r="O196" s="60"/>
      <c r="P196" s="60"/>
      <c r="Q196" s="60"/>
      <c r="R196" s="60"/>
      <c r="S196" s="60"/>
      <c r="T196" s="56" t="str">
        <f t="shared" ca="1" si="7"/>
        <v>Aucune action immédiate</v>
      </c>
    </row>
    <row r="197" spans="3:20" ht="42" customHeight="1">
      <c r="C197" s="55" t="s">
        <v>273</v>
      </c>
      <c r="D197" s="55"/>
      <c r="E197" s="55"/>
      <c r="F197" s="56"/>
      <c r="G197" s="56"/>
      <c r="H197" s="55"/>
      <c r="I197" s="57"/>
      <c r="J197" s="57"/>
      <c r="K197" s="57"/>
      <c r="L197" s="57"/>
      <c r="M197" s="57"/>
      <c r="N197" s="60" t="str">
        <f t="shared" ref="N197:N235" ca="1" si="8">IF(ISNUMBER(L197),IF(L197&lt;TODAY(),"🔴 En retard",IF(L197&lt;=TODAY()+30,"🟠 À déclencher",IF(L197&lt;=TODAY()+60,"🟡 À préparer","🟢 À jour"))),IF(L197&lt;&gt;"","⚪ À surveiller",IF(OR(ISNUMBER(SEARCH("besoin",H197)),ISNUMBER(SEARCH("الضرورة",H197))),"⚪ À surveiller","⚪ À qualifier")))</f>
        <v>⚪ À qualifier</v>
      </c>
      <c r="O197" s="60"/>
      <c r="P197" s="60"/>
      <c r="Q197" s="60"/>
      <c r="R197" s="60"/>
      <c r="S197" s="60"/>
      <c r="T197" s="56" t="str">
        <f t="shared" ref="T197:T235" ca="1" si="9">IF(N197="🔴 En retard","Organiser / régulariser",IF(N197="🟠 À déclencher","Préparer la convocation",IF(N197="🟡 À préparer","Anticiper avec le responsable",IF(N197="⚪ À surveiller","Vérifier le déclencheur","Aucune action immédiate"))))</f>
        <v>Aucune action immédiate</v>
      </c>
    </row>
    <row r="198" spans="3:20" ht="42" customHeight="1">
      <c r="C198" s="55" t="s">
        <v>274</v>
      </c>
      <c r="D198" s="55"/>
      <c r="E198" s="55"/>
      <c r="F198" s="56"/>
      <c r="G198" s="56"/>
      <c r="H198" s="55"/>
      <c r="I198" s="57"/>
      <c r="J198" s="57"/>
      <c r="K198" s="57"/>
      <c r="L198" s="57"/>
      <c r="M198" s="57"/>
      <c r="N198" s="60" t="str">
        <f t="shared" ca="1" si="8"/>
        <v>⚪ À qualifier</v>
      </c>
      <c r="O198" s="60"/>
      <c r="P198" s="60"/>
      <c r="Q198" s="60"/>
      <c r="R198" s="60"/>
      <c r="S198" s="60"/>
      <c r="T198" s="56" t="str">
        <f t="shared" ca="1" si="9"/>
        <v>Aucune action immédiate</v>
      </c>
    </row>
    <row r="199" spans="3:20" ht="42" customHeight="1">
      <c r="C199" s="55" t="s">
        <v>275</v>
      </c>
      <c r="D199" s="55"/>
      <c r="E199" s="55"/>
      <c r="F199" s="56"/>
      <c r="G199" s="56"/>
      <c r="H199" s="55"/>
      <c r="I199" s="57"/>
      <c r="J199" s="57"/>
      <c r="K199" s="57"/>
      <c r="L199" s="57"/>
      <c r="M199" s="57"/>
      <c r="N199" s="60" t="str">
        <f t="shared" ca="1" si="8"/>
        <v>⚪ À qualifier</v>
      </c>
      <c r="O199" s="60"/>
      <c r="P199" s="60"/>
      <c r="Q199" s="60"/>
      <c r="R199" s="60"/>
      <c r="S199" s="60"/>
      <c r="T199" s="56" t="str">
        <f t="shared" ca="1" si="9"/>
        <v>Aucune action immédiate</v>
      </c>
    </row>
    <row r="200" spans="3:20" ht="42" customHeight="1">
      <c r="C200" s="55" t="s">
        <v>276</v>
      </c>
      <c r="D200" s="55"/>
      <c r="E200" s="55"/>
      <c r="F200" s="56"/>
      <c r="G200" s="56"/>
      <c r="H200" s="55"/>
      <c r="I200" s="57"/>
      <c r="J200" s="57"/>
      <c r="K200" s="57"/>
      <c r="L200" s="57"/>
      <c r="M200" s="57"/>
      <c r="N200" s="60" t="str">
        <f t="shared" ca="1" si="8"/>
        <v>⚪ À qualifier</v>
      </c>
      <c r="O200" s="60"/>
      <c r="P200" s="60"/>
      <c r="Q200" s="60"/>
      <c r="R200" s="60"/>
      <c r="S200" s="60"/>
      <c r="T200" s="56" t="str">
        <f t="shared" ca="1" si="9"/>
        <v>Aucune action immédiate</v>
      </c>
    </row>
    <row r="201" spans="3:20" ht="42" customHeight="1">
      <c r="C201" s="55" t="s">
        <v>277</v>
      </c>
      <c r="D201" s="55"/>
      <c r="E201" s="55"/>
      <c r="F201" s="56"/>
      <c r="G201" s="56"/>
      <c r="H201" s="55"/>
      <c r="I201" s="57"/>
      <c r="J201" s="57"/>
      <c r="K201" s="57"/>
      <c r="L201" s="57"/>
      <c r="M201" s="57"/>
      <c r="N201" s="60" t="str">
        <f t="shared" ca="1" si="8"/>
        <v>⚪ À qualifier</v>
      </c>
      <c r="O201" s="60"/>
      <c r="P201" s="60"/>
      <c r="Q201" s="60"/>
      <c r="R201" s="60"/>
      <c r="S201" s="60"/>
      <c r="T201" s="56" t="str">
        <f t="shared" ca="1" si="9"/>
        <v>Aucune action immédiate</v>
      </c>
    </row>
    <row r="202" spans="3:20" ht="42" customHeight="1">
      <c r="C202" s="55" t="s">
        <v>278</v>
      </c>
      <c r="D202" s="55"/>
      <c r="E202" s="55"/>
      <c r="F202" s="56"/>
      <c r="G202" s="56"/>
      <c r="H202" s="55"/>
      <c r="I202" s="57"/>
      <c r="J202" s="57"/>
      <c r="K202" s="57"/>
      <c r="L202" s="57"/>
      <c r="M202" s="57"/>
      <c r="N202" s="60" t="str">
        <f t="shared" ca="1" si="8"/>
        <v>⚪ À qualifier</v>
      </c>
      <c r="O202" s="60"/>
      <c r="P202" s="60"/>
      <c r="Q202" s="60"/>
      <c r="R202" s="60"/>
      <c r="S202" s="60"/>
      <c r="T202" s="56" t="str">
        <f t="shared" ca="1" si="9"/>
        <v>Aucune action immédiate</v>
      </c>
    </row>
    <row r="203" spans="3:20" ht="42" customHeight="1">
      <c r="C203" s="55" t="s">
        <v>279</v>
      </c>
      <c r="D203" s="55"/>
      <c r="E203" s="55"/>
      <c r="F203" s="56"/>
      <c r="G203" s="56"/>
      <c r="H203" s="55"/>
      <c r="I203" s="57"/>
      <c r="J203" s="57"/>
      <c r="K203" s="57"/>
      <c r="L203" s="57"/>
      <c r="M203" s="57"/>
      <c r="N203" s="60" t="str">
        <f t="shared" ca="1" si="8"/>
        <v>⚪ À qualifier</v>
      </c>
      <c r="O203" s="60"/>
      <c r="P203" s="60"/>
      <c r="Q203" s="60"/>
      <c r="R203" s="60"/>
      <c r="S203" s="60"/>
      <c r="T203" s="56" t="str">
        <f t="shared" ca="1" si="9"/>
        <v>Aucune action immédiate</v>
      </c>
    </row>
    <row r="204" spans="3:20" ht="42" customHeight="1">
      <c r="C204" s="55" t="s">
        <v>280</v>
      </c>
      <c r="D204" s="55"/>
      <c r="E204" s="55"/>
      <c r="F204" s="56"/>
      <c r="G204" s="56"/>
      <c r="H204" s="55"/>
      <c r="I204" s="57"/>
      <c r="J204" s="57"/>
      <c r="K204" s="57"/>
      <c r="L204" s="57"/>
      <c r="M204" s="57"/>
      <c r="N204" s="60" t="str">
        <f t="shared" ca="1" si="8"/>
        <v>⚪ À qualifier</v>
      </c>
      <c r="O204" s="60"/>
      <c r="P204" s="60"/>
      <c r="Q204" s="60"/>
      <c r="R204" s="60"/>
      <c r="S204" s="60"/>
      <c r="T204" s="56" t="str">
        <f t="shared" ca="1" si="9"/>
        <v>Aucune action immédiate</v>
      </c>
    </row>
    <row r="205" spans="3:20" ht="42" customHeight="1">
      <c r="C205" s="55" t="s">
        <v>281</v>
      </c>
      <c r="D205" s="55"/>
      <c r="E205" s="55"/>
      <c r="F205" s="56"/>
      <c r="G205" s="56"/>
      <c r="H205" s="55"/>
      <c r="I205" s="57"/>
      <c r="J205" s="57"/>
      <c r="K205" s="57"/>
      <c r="L205" s="57"/>
      <c r="M205" s="57"/>
      <c r="N205" s="60" t="str">
        <f t="shared" ca="1" si="8"/>
        <v>⚪ À qualifier</v>
      </c>
      <c r="O205" s="60"/>
      <c r="P205" s="60"/>
      <c r="Q205" s="60"/>
      <c r="R205" s="60"/>
      <c r="S205" s="60"/>
      <c r="T205" s="56" t="str">
        <f t="shared" ca="1" si="9"/>
        <v>Aucune action immédiate</v>
      </c>
    </row>
    <row r="206" spans="3:20" ht="42" customHeight="1">
      <c r="C206" s="55" t="s">
        <v>282</v>
      </c>
      <c r="D206" s="55"/>
      <c r="E206" s="55"/>
      <c r="F206" s="56"/>
      <c r="G206" s="56"/>
      <c r="H206" s="55"/>
      <c r="I206" s="57"/>
      <c r="J206" s="57"/>
      <c r="K206" s="57"/>
      <c r="L206" s="57"/>
      <c r="M206" s="57"/>
      <c r="N206" s="60" t="str">
        <f t="shared" ca="1" si="8"/>
        <v>⚪ À qualifier</v>
      </c>
      <c r="O206" s="60"/>
      <c r="P206" s="60"/>
      <c r="Q206" s="60"/>
      <c r="R206" s="60"/>
      <c r="S206" s="60"/>
      <c r="T206" s="56" t="str">
        <f t="shared" ca="1" si="9"/>
        <v>Aucune action immédiate</v>
      </c>
    </row>
    <row r="207" spans="3:20" ht="42" customHeight="1">
      <c r="C207" s="55" t="s">
        <v>283</v>
      </c>
      <c r="D207" s="55"/>
      <c r="E207" s="55"/>
      <c r="F207" s="56"/>
      <c r="G207" s="56"/>
      <c r="H207" s="55"/>
      <c r="I207" s="57"/>
      <c r="J207" s="57"/>
      <c r="K207" s="57"/>
      <c r="L207" s="57"/>
      <c r="M207" s="57"/>
      <c r="N207" s="60" t="str">
        <f t="shared" ca="1" si="8"/>
        <v>⚪ À qualifier</v>
      </c>
      <c r="O207" s="60"/>
      <c r="P207" s="60"/>
      <c r="Q207" s="60"/>
      <c r="R207" s="60"/>
      <c r="S207" s="60"/>
      <c r="T207" s="56" t="str">
        <f t="shared" ca="1" si="9"/>
        <v>Aucune action immédiate</v>
      </c>
    </row>
    <row r="208" spans="3:20" ht="42" customHeight="1">
      <c r="C208" s="55" t="s">
        <v>284</v>
      </c>
      <c r="D208" s="55"/>
      <c r="E208" s="55"/>
      <c r="F208" s="56"/>
      <c r="G208" s="56"/>
      <c r="H208" s="55"/>
      <c r="I208" s="57"/>
      <c r="J208" s="57"/>
      <c r="K208" s="57"/>
      <c r="L208" s="57"/>
      <c r="M208" s="57"/>
      <c r="N208" s="60" t="str">
        <f t="shared" ca="1" si="8"/>
        <v>⚪ À qualifier</v>
      </c>
      <c r="O208" s="60"/>
      <c r="P208" s="60"/>
      <c r="Q208" s="60"/>
      <c r="R208" s="60"/>
      <c r="S208" s="60"/>
      <c r="T208" s="56" t="str">
        <f t="shared" ca="1" si="9"/>
        <v>Aucune action immédiate</v>
      </c>
    </row>
    <row r="209" spans="3:20" ht="42" customHeight="1">
      <c r="C209" s="55" t="s">
        <v>285</v>
      </c>
      <c r="D209" s="55"/>
      <c r="E209" s="55"/>
      <c r="F209" s="56"/>
      <c r="G209" s="56"/>
      <c r="H209" s="55"/>
      <c r="I209" s="57"/>
      <c r="J209" s="57"/>
      <c r="K209" s="57"/>
      <c r="L209" s="57"/>
      <c r="M209" s="57"/>
      <c r="N209" s="60" t="str">
        <f t="shared" ca="1" si="8"/>
        <v>⚪ À qualifier</v>
      </c>
      <c r="O209" s="60"/>
      <c r="P209" s="60"/>
      <c r="Q209" s="60"/>
      <c r="R209" s="60"/>
      <c r="S209" s="60"/>
      <c r="T209" s="56" t="str">
        <f t="shared" ca="1" si="9"/>
        <v>Aucune action immédiate</v>
      </c>
    </row>
    <row r="210" spans="3:20" ht="42" customHeight="1">
      <c r="C210" s="55" t="s">
        <v>286</v>
      </c>
      <c r="D210" s="55"/>
      <c r="E210" s="55"/>
      <c r="F210" s="56"/>
      <c r="G210" s="56"/>
      <c r="H210" s="55"/>
      <c r="I210" s="57"/>
      <c r="J210" s="57"/>
      <c r="K210" s="57"/>
      <c r="L210" s="57"/>
      <c r="M210" s="57"/>
      <c r="N210" s="60" t="str">
        <f t="shared" ca="1" si="8"/>
        <v>⚪ À qualifier</v>
      </c>
      <c r="O210" s="60"/>
      <c r="P210" s="60"/>
      <c r="Q210" s="60"/>
      <c r="R210" s="60"/>
      <c r="S210" s="60"/>
      <c r="T210" s="56" t="str">
        <f t="shared" ca="1" si="9"/>
        <v>Aucune action immédiate</v>
      </c>
    </row>
    <row r="211" spans="3:20" ht="42" customHeight="1">
      <c r="C211" s="55" t="s">
        <v>287</v>
      </c>
      <c r="D211" s="55"/>
      <c r="E211" s="55"/>
      <c r="F211" s="56"/>
      <c r="G211" s="56"/>
      <c r="H211" s="55"/>
      <c r="I211" s="57"/>
      <c r="J211" s="57"/>
      <c r="K211" s="57"/>
      <c r="L211" s="57"/>
      <c r="M211" s="57"/>
      <c r="N211" s="60" t="str">
        <f t="shared" ca="1" si="8"/>
        <v>⚪ À qualifier</v>
      </c>
      <c r="O211" s="60"/>
      <c r="P211" s="60"/>
      <c r="Q211" s="60"/>
      <c r="R211" s="60"/>
      <c r="S211" s="60"/>
      <c r="T211" s="56" t="str">
        <f t="shared" ca="1" si="9"/>
        <v>Aucune action immédiate</v>
      </c>
    </row>
    <row r="212" spans="3:20" ht="42" customHeight="1">
      <c r="C212" s="55" t="s">
        <v>288</v>
      </c>
      <c r="D212" s="55"/>
      <c r="E212" s="55"/>
      <c r="F212" s="56"/>
      <c r="G212" s="56"/>
      <c r="H212" s="55"/>
      <c r="I212" s="57"/>
      <c r="J212" s="57"/>
      <c r="K212" s="57"/>
      <c r="L212" s="57"/>
      <c r="M212" s="57"/>
      <c r="N212" s="60" t="str">
        <f t="shared" ca="1" si="8"/>
        <v>⚪ À qualifier</v>
      </c>
      <c r="O212" s="60"/>
      <c r="P212" s="60"/>
      <c r="Q212" s="60"/>
      <c r="R212" s="60"/>
      <c r="S212" s="60"/>
      <c r="T212" s="56" t="str">
        <f t="shared" ca="1" si="9"/>
        <v>Aucune action immédiate</v>
      </c>
    </row>
    <row r="213" spans="3:20" ht="42" customHeight="1">
      <c r="C213" s="55" t="s">
        <v>289</v>
      </c>
      <c r="D213" s="55"/>
      <c r="E213" s="55"/>
      <c r="F213" s="56"/>
      <c r="G213" s="56"/>
      <c r="H213" s="55"/>
      <c r="I213" s="57"/>
      <c r="J213" s="57"/>
      <c r="K213" s="57"/>
      <c r="L213" s="57"/>
      <c r="M213" s="57"/>
      <c r="N213" s="60" t="str">
        <f t="shared" ca="1" si="8"/>
        <v>⚪ À qualifier</v>
      </c>
      <c r="O213" s="60"/>
      <c r="P213" s="60"/>
      <c r="Q213" s="60"/>
      <c r="R213" s="60"/>
      <c r="S213" s="60"/>
      <c r="T213" s="56" t="str">
        <f t="shared" ca="1" si="9"/>
        <v>Aucune action immédiate</v>
      </c>
    </row>
    <row r="214" spans="3:20" ht="42" customHeight="1">
      <c r="C214" s="55" t="s">
        <v>290</v>
      </c>
      <c r="D214" s="55"/>
      <c r="E214" s="55"/>
      <c r="F214" s="56"/>
      <c r="G214" s="56"/>
      <c r="H214" s="55"/>
      <c r="I214" s="57"/>
      <c r="J214" s="57"/>
      <c r="K214" s="57"/>
      <c r="L214" s="57"/>
      <c r="M214" s="57"/>
      <c r="N214" s="60" t="str">
        <f t="shared" ca="1" si="8"/>
        <v>⚪ À qualifier</v>
      </c>
      <c r="O214" s="60"/>
      <c r="P214" s="60"/>
      <c r="Q214" s="60"/>
      <c r="R214" s="60"/>
      <c r="S214" s="60"/>
      <c r="T214" s="56" t="str">
        <f t="shared" ca="1" si="9"/>
        <v>Aucune action immédiate</v>
      </c>
    </row>
    <row r="215" spans="3:20" ht="42" customHeight="1">
      <c r="C215" s="55" t="s">
        <v>291</v>
      </c>
      <c r="D215" s="55"/>
      <c r="E215" s="55"/>
      <c r="F215" s="56"/>
      <c r="G215" s="56"/>
      <c r="H215" s="55"/>
      <c r="I215" s="57"/>
      <c r="J215" s="57"/>
      <c r="K215" s="57"/>
      <c r="L215" s="57"/>
      <c r="M215" s="57"/>
      <c r="N215" s="60" t="str">
        <f t="shared" ca="1" si="8"/>
        <v>⚪ À qualifier</v>
      </c>
      <c r="O215" s="60"/>
      <c r="P215" s="60"/>
      <c r="Q215" s="60"/>
      <c r="R215" s="60"/>
      <c r="S215" s="60"/>
      <c r="T215" s="56" t="str">
        <f t="shared" ca="1" si="9"/>
        <v>Aucune action immédiate</v>
      </c>
    </row>
    <row r="216" spans="3:20" ht="42" customHeight="1">
      <c r="C216" s="55" t="s">
        <v>292</v>
      </c>
      <c r="D216" s="55"/>
      <c r="E216" s="55"/>
      <c r="F216" s="56"/>
      <c r="G216" s="56"/>
      <c r="H216" s="55"/>
      <c r="I216" s="57"/>
      <c r="J216" s="57"/>
      <c r="K216" s="57"/>
      <c r="L216" s="57"/>
      <c r="M216" s="57"/>
      <c r="N216" s="60" t="str">
        <f t="shared" ca="1" si="8"/>
        <v>⚪ À qualifier</v>
      </c>
      <c r="O216" s="60"/>
      <c r="P216" s="60"/>
      <c r="Q216" s="60"/>
      <c r="R216" s="60"/>
      <c r="S216" s="60"/>
      <c r="T216" s="56" t="str">
        <f t="shared" ca="1" si="9"/>
        <v>Aucune action immédiate</v>
      </c>
    </row>
    <row r="217" spans="3:20" ht="42" customHeight="1">
      <c r="C217" s="55" t="s">
        <v>293</v>
      </c>
      <c r="D217" s="55"/>
      <c r="E217" s="55"/>
      <c r="F217" s="56"/>
      <c r="G217" s="56"/>
      <c r="H217" s="55"/>
      <c r="I217" s="57"/>
      <c r="J217" s="57"/>
      <c r="K217" s="57"/>
      <c r="L217" s="57"/>
      <c r="M217" s="57"/>
      <c r="N217" s="60" t="str">
        <f t="shared" ca="1" si="8"/>
        <v>⚪ À qualifier</v>
      </c>
      <c r="O217" s="60"/>
      <c r="P217" s="60"/>
      <c r="Q217" s="60"/>
      <c r="R217" s="60"/>
      <c r="S217" s="60"/>
      <c r="T217" s="56" t="str">
        <f t="shared" ca="1" si="9"/>
        <v>Aucune action immédiate</v>
      </c>
    </row>
    <row r="218" spans="3:20" ht="42" customHeight="1">
      <c r="C218" s="55" t="s">
        <v>294</v>
      </c>
      <c r="D218" s="55"/>
      <c r="E218" s="55"/>
      <c r="F218" s="56"/>
      <c r="G218" s="56"/>
      <c r="H218" s="55"/>
      <c r="I218" s="57"/>
      <c r="J218" s="57"/>
      <c r="K218" s="57"/>
      <c r="L218" s="57"/>
      <c r="M218" s="57"/>
      <c r="N218" s="60" t="str">
        <f t="shared" ca="1" si="8"/>
        <v>⚪ À qualifier</v>
      </c>
      <c r="O218" s="60"/>
      <c r="P218" s="60"/>
      <c r="Q218" s="60"/>
      <c r="R218" s="60"/>
      <c r="S218" s="60"/>
      <c r="T218" s="56" t="str">
        <f t="shared" ca="1" si="9"/>
        <v>Aucune action immédiate</v>
      </c>
    </row>
    <row r="219" spans="3:20" ht="42" customHeight="1">
      <c r="C219" s="55" t="s">
        <v>295</v>
      </c>
      <c r="D219" s="55"/>
      <c r="E219" s="55"/>
      <c r="F219" s="56"/>
      <c r="G219" s="56"/>
      <c r="H219" s="55"/>
      <c r="I219" s="57"/>
      <c r="J219" s="57"/>
      <c r="K219" s="57"/>
      <c r="L219" s="57"/>
      <c r="M219" s="57"/>
      <c r="N219" s="60" t="str">
        <f t="shared" ca="1" si="8"/>
        <v>⚪ À qualifier</v>
      </c>
      <c r="O219" s="60"/>
      <c r="P219" s="60"/>
      <c r="Q219" s="60"/>
      <c r="R219" s="60"/>
      <c r="S219" s="60"/>
      <c r="T219" s="56" t="str">
        <f t="shared" ca="1" si="9"/>
        <v>Aucune action immédiate</v>
      </c>
    </row>
    <row r="220" spans="3:20" ht="42" customHeight="1">
      <c r="C220" s="55" t="s">
        <v>296</v>
      </c>
      <c r="D220" s="55"/>
      <c r="E220" s="55"/>
      <c r="F220" s="56"/>
      <c r="G220" s="56"/>
      <c r="H220" s="55"/>
      <c r="I220" s="57"/>
      <c r="J220" s="57"/>
      <c r="K220" s="57"/>
      <c r="L220" s="57"/>
      <c r="M220" s="57"/>
      <c r="N220" s="60" t="str">
        <f t="shared" ca="1" si="8"/>
        <v>⚪ À qualifier</v>
      </c>
      <c r="O220" s="60"/>
      <c r="P220" s="60"/>
      <c r="Q220" s="60"/>
      <c r="R220" s="60"/>
      <c r="S220" s="60"/>
      <c r="T220" s="56" t="str">
        <f t="shared" ca="1" si="9"/>
        <v>Aucune action immédiate</v>
      </c>
    </row>
    <row r="221" spans="3:20" ht="42" customHeight="1">
      <c r="C221" s="55" t="s">
        <v>297</v>
      </c>
      <c r="D221" s="55"/>
      <c r="E221" s="55"/>
      <c r="F221" s="56"/>
      <c r="G221" s="56"/>
      <c r="H221" s="55"/>
      <c r="I221" s="57"/>
      <c r="J221" s="57"/>
      <c r="K221" s="57"/>
      <c r="L221" s="57"/>
      <c r="M221" s="57"/>
      <c r="N221" s="60" t="str">
        <f t="shared" ca="1" si="8"/>
        <v>⚪ À qualifier</v>
      </c>
      <c r="O221" s="60"/>
      <c r="P221" s="60"/>
      <c r="Q221" s="60"/>
      <c r="R221" s="60"/>
      <c r="S221" s="60"/>
      <c r="T221" s="56" t="str">
        <f t="shared" ca="1" si="9"/>
        <v>Aucune action immédiate</v>
      </c>
    </row>
    <row r="222" spans="3:20" ht="42" customHeight="1">
      <c r="C222" s="55" t="s">
        <v>298</v>
      </c>
      <c r="D222" s="55"/>
      <c r="E222" s="55"/>
      <c r="F222" s="56"/>
      <c r="G222" s="56"/>
      <c r="H222" s="55"/>
      <c r="I222" s="57"/>
      <c r="J222" s="57"/>
      <c r="K222" s="57"/>
      <c r="L222" s="57"/>
      <c r="M222" s="57"/>
      <c r="N222" s="60" t="str">
        <f t="shared" ca="1" si="8"/>
        <v>⚪ À qualifier</v>
      </c>
      <c r="O222" s="60"/>
      <c r="P222" s="60"/>
      <c r="Q222" s="60"/>
      <c r="R222" s="60"/>
      <c r="S222" s="60"/>
      <c r="T222" s="56" t="str">
        <f t="shared" ca="1" si="9"/>
        <v>Aucune action immédiate</v>
      </c>
    </row>
    <row r="223" spans="3:20" ht="42" customHeight="1">
      <c r="C223" s="55" t="s">
        <v>299</v>
      </c>
      <c r="D223" s="55"/>
      <c r="E223" s="55"/>
      <c r="F223" s="56"/>
      <c r="G223" s="56"/>
      <c r="H223" s="55"/>
      <c r="I223" s="57"/>
      <c r="J223" s="57"/>
      <c r="K223" s="57"/>
      <c r="L223" s="57"/>
      <c r="M223" s="57"/>
      <c r="N223" s="60" t="str">
        <f t="shared" ca="1" si="8"/>
        <v>⚪ À qualifier</v>
      </c>
      <c r="O223" s="60"/>
      <c r="P223" s="60"/>
      <c r="Q223" s="60"/>
      <c r="R223" s="60"/>
      <c r="S223" s="60"/>
      <c r="T223" s="56" t="str">
        <f t="shared" ca="1" si="9"/>
        <v>Aucune action immédiate</v>
      </c>
    </row>
    <row r="224" spans="3:20" ht="42" customHeight="1">
      <c r="C224" s="55" t="s">
        <v>300</v>
      </c>
      <c r="D224" s="55"/>
      <c r="E224" s="55"/>
      <c r="F224" s="56"/>
      <c r="G224" s="56"/>
      <c r="H224" s="55"/>
      <c r="I224" s="57"/>
      <c r="J224" s="57"/>
      <c r="K224" s="57"/>
      <c r="L224" s="57"/>
      <c r="M224" s="57"/>
      <c r="N224" s="60" t="str">
        <f t="shared" ca="1" si="8"/>
        <v>⚪ À qualifier</v>
      </c>
      <c r="O224" s="60"/>
      <c r="P224" s="60"/>
      <c r="Q224" s="60"/>
      <c r="R224" s="60"/>
      <c r="S224" s="60"/>
      <c r="T224" s="56" t="str">
        <f t="shared" ca="1" si="9"/>
        <v>Aucune action immédiate</v>
      </c>
    </row>
    <row r="225" spans="3:20" ht="42" customHeight="1">
      <c r="C225" s="55" t="s">
        <v>301</v>
      </c>
      <c r="D225" s="55"/>
      <c r="E225" s="55"/>
      <c r="F225" s="56"/>
      <c r="G225" s="56"/>
      <c r="H225" s="55"/>
      <c r="I225" s="57"/>
      <c r="J225" s="57"/>
      <c r="K225" s="57"/>
      <c r="L225" s="57"/>
      <c r="M225" s="57"/>
      <c r="N225" s="60" t="str">
        <f t="shared" ca="1" si="8"/>
        <v>⚪ À qualifier</v>
      </c>
      <c r="O225" s="60"/>
      <c r="P225" s="60"/>
      <c r="Q225" s="60"/>
      <c r="R225" s="60"/>
      <c r="S225" s="60"/>
      <c r="T225" s="56" t="str">
        <f t="shared" ca="1" si="9"/>
        <v>Aucune action immédiate</v>
      </c>
    </row>
    <row r="226" spans="3:20" ht="42" customHeight="1">
      <c r="C226" s="55" t="s">
        <v>302</v>
      </c>
      <c r="D226" s="55"/>
      <c r="E226" s="55"/>
      <c r="F226" s="56"/>
      <c r="G226" s="56"/>
      <c r="H226" s="55"/>
      <c r="I226" s="57"/>
      <c r="J226" s="57"/>
      <c r="K226" s="57"/>
      <c r="L226" s="57"/>
      <c r="M226" s="57"/>
      <c r="N226" s="60" t="str">
        <f t="shared" ca="1" si="8"/>
        <v>⚪ À qualifier</v>
      </c>
      <c r="O226" s="60"/>
      <c r="P226" s="60"/>
      <c r="Q226" s="60"/>
      <c r="R226" s="60"/>
      <c r="S226" s="60"/>
      <c r="T226" s="56" t="str">
        <f t="shared" ca="1" si="9"/>
        <v>Aucune action immédiate</v>
      </c>
    </row>
    <row r="227" spans="3:20" ht="42" customHeight="1">
      <c r="C227" s="55" t="s">
        <v>303</v>
      </c>
      <c r="D227" s="55"/>
      <c r="E227" s="55"/>
      <c r="F227" s="56"/>
      <c r="G227" s="56"/>
      <c r="H227" s="55"/>
      <c r="I227" s="57"/>
      <c r="J227" s="57"/>
      <c r="K227" s="57"/>
      <c r="L227" s="57"/>
      <c r="M227" s="57"/>
      <c r="N227" s="60" t="str">
        <f t="shared" ca="1" si="8"/>
        <v>⚪ À qualifier</v>
      </c>
      <c r="O227" s="60"/>
      <c r="P227" s="60"/>
      <c r="Q227" s="60"/>
      <c r="R227" s="60"/>
      <c r="S227" s="60"/>
      <c r="T227" s="56" t="str">
        <f t="shared" ca="1" si="9"/>
        <v>Aucune action immédiate</v>
      </c>
    </row>
    <row r="228" spans="3:20" ht="42" customHeight="1">
      <c r="C228" s="55" t="s">
        <v>304</v>
      </c>
      <c r="D228" s="55"/>
      <c r="E228" s="55"/>
      <c r="F228" s="56"/>
      <c r="G228" s="56"/>
      <c r="H228" s="55"/>
      <c r="I228" s="57"/>
      <c r="J228" s="57"/>
      <c r="K228" s="57"/>
      <c r="L228" s="57"/>
      <c r="M228" s="57"/>
      <c r="N228" s="60" t="str">
        <f t="shared" ca="1" si="8"/>
        <v>⚪ À qualifier</v>
      </c>
      <c r="O228" s="60"/>
      <c r="P228" s="60"/>
      <c r="Q228" s="60"/>
      <c r="R228" s="60"/>
      <c r="S228" s="60"/>
      <c r="T228" s="56" t="str">
        <f t="shared" ca="1" si="9"/>
        <v>Aucune action immédiate</v>
      </c>
    </row>
    <row r="229" spans="3:20" ht="42" customHeight="1">
      <c r="C229" s="55" t="s">
        <v>305</v>
      </c>
      <c r="D229" s="55"/>
      <c r="E229" s="55"/>
      <c r="F229" s="56"/>
      <c r="G229" s="56"/>
      <c r="H229" s="55"/>
      <c r="I229" s="57"/>
      <c r="J229" s="57"/>
      <c r="K229" s="57"/>
      <c r="L229" s="57"/>
      <c r="M229" s="57"/>
      <c r="N229" s="60" t="str">
        <f t="shared" ca="1" si="8"/>
        <v>⚪ À qualifier</v>
      </c>
      <c r="O229" s="60"/>
      <c r="P229" s="60"/>
      <c r="Q229" s="60"/>
      <c r="R229" s="60"/>
      <c r="S229" s="60"/>
      <c r="T229" s="56" t="str">
        <f t="shared" ca="1" si="9"/>
        <v>Aucune action immédiate</v>
      </c>
    </row>
    <row r="230" spans="3:20" ht="42" customHeight="1">
      <c r="C230" s="55" t="s">
        <v>306</v>
      </c>
      <c r="D230" s="55"/>
      <c r="E230" s="55"/>
      <c r="F230" s="56"/>
      <c r="G230" s="56"/>
      <c r="H230" s="55"/>
      <c r="I230" s="57"/>
      <c r="J230" s="57"/>
      <c r="K230" s="57"/>
      <c r="L230" s="57"/>
      <c r="M230" s="57"/>
      <c r="N230" s="60" t="str">
        <f t="shared" ca="1" si="8"/>
        <v>⚪ À qualifier</v>
      </c>
      <c r="O230" s="60"/>
      <c r="P230" s="60"/>
      <c r="Q230" s="60"/>
      <c r="R230" s="60"/>
      <c r="S230" s="60"/>
      <c r="T230" s="56" t="str">
        <f t="shared" ca="1" si="9"/>
        <v>Aucune action immédiate</v>
      </c>
    </row>
    <row r="231" spans="3:20" ht="42" customHeight="1">
      <c r="C231" s="55" t="s">
        <v>307</v>
      </c>
      <c r="D231" s="55"/>
      <c r="E231" s="55"/>
      <c r="F231" s="56"/>
      <c r="G231" s="56"/>
      <c r="H231" s="55"/>
      <c r="I231" s="57"/>
      <c r="J231" s="57"/>
      <c r="K231" s="57"/>
      <c r="L231" s="57"/>
      <c r="M231" s="57"/>
      <c r="N231" s="60" t="str">
        <f t="shared" ca="1" si="8"/>
        <v>⚪ À qualifier</v>
      </c>
      <c r="O231" s="60"/>
      <c r="P231" s="60"/>
      <c r="Q231" s="60"/>
      <c r="R231" s="60"/>
      <c r="S231" s="60"/>
      <c r="T231" s="56" t="str">
        <f t="shared" ca="1" si="9"/>
        <v>Aucune action immédiate</v>
      </c>
    </row>
    <row r="232" spans="3:20" ht="42" customHeight="1">
      <c r="C232" s="55" t="s">
        <v>308</v>
      </c>
      <c r="D232" s="55"/>
      <c r="E232" s="55"/>
      <c r="F232" s="56"/>
      <c r="G232" s="56"/>
      <c r="H232" s="55"/>
      <c r="I232" s="57"/>
      <c r="J232" s="57"/>
      <c r="K232" s="57"/>
      <c r="L232" s="57"/>
      <c r="M232" s="57"/>
      <c r="N232" s="60" t="str">
        <f t="shared" ca="1" si="8"/>
        <v>⚪ À qualifier</v>
      </c>
      <c r="O232" s="60"/>
      <c r="P232" s="60"/>
      <c r="Q232" s="60"/>
      <c r="R232" s="60"/>
      <c r="S232" s="60"/>
      <c r="T232" s="56" t="str">
        <f t="shared" ca="1" si="9"/>
        <v>Aucune action immédiate</v>
      </c>
    </row>
    <row r="233" spans="3:20" ht="42" customHeight="1">
      <c r="C233" s="55" t="s">
        <v>309</v>
      </c>
      <c r="D233" s="55"/>
      <c r="E233" s="55"/>
      <c r="F233" s="56"/>
      <c r="G233" s="56"/>
      <c r="H233" s="55"/>
      <c r="I233" s="57"/>
      <c r="J233" s="57"/>
      <c r="K233" s="57"/>
      <c r="L233" s="57"/>
      <c r="M233" s="57"/>
      <c r="N233" s="60" t="str">
        <f t="shared" ca="1" si="8"/>
        <v>⚪ À qualifier</v>
      </c>
      <c r="O233" s="60"/>
      <c r="P233" s="60"/>
      <c r="Q233" s="60"/>
      <c r="R233" s="60"/>
      <c r="S233" s="60"/>
      <c r="T233" s="56" t="str">
        <f t="shared" ca="1" si="9"/>
        <v>Aucune action immédiate</v>
      </c>
    </row>
    <row r="234" spans="3:20" ht="42" customHeight="1">
      <c r="C234" s="55" t="s">
        <v>310</v>
      </c>
      <c r="D234" s="55"/>
      <c r="E234" s="55"/>
      <c r="F234" s="56"/>
      <c r="G234" s="56"/>
      <c r="H234" s="55"/>
      <c r="I234" s="57"/>
      <c r="J234" s="57"/>
      <c r="K234" s="57"/>
      <c r="L234" s="57"/>
      <c r="M234" s="57"/>
      <c r="N234" s="60" t="str">
        <f t="shared" ca="1" si="8"/>
        <v>⚪ À qualifier</v>
      </c>
      <c r="O234" s="60"/>
      <c r="P234" s="60"/>
      <c r="Q234" s="60"/>
      <c r="R234" s="60"/>
      <c r="S234" s="60"/>
      <c r="T234" s="56" t="str">
        <f t="shared" ca="1" si="9"/>
        <v>Aucune action immédiate</v>
      </c>
    </row>
    <row r="235" spans="3:20" ht="42" customHeight="1">
      <c r="C235" s="55" t="s">
        <v>311</v>
      </c>
      <c r="D235" s="55"/>
      <c r="E235" s="55"/>
      <c r="F235" s="56"/>
      <c r="G235" s="56"/>
      <c r="H235" s="55"/>
      <c r="I235" s="57"/>
      <c r="J235" s="57"/>
      <c r="K235" s="57"/>
      <c r="L235" s="57"/>
      <c r="M235" s="57"/>
      <c r="N235" s="60" t="str">
        <f t="shared" ca="1" si="8"/>
        <v>⚪ À qualifier</v>
      </c>
      <c r="O235" s="60"/>
      <c r="P235" s="60"/>
      <c r="Q235" s="60"/>
      <c r="R235" s="60"/>
      <c r="S235" s="60"/>
      <c r="T235" s="56" t="str">
        <f t="shared" ca="1" si="9"/>
        <v>Aucune action immédiate</v>
      </c>
    </row>
  </sheetData>
  <mergeCells count="3">
    <mergeCell ref="C1:T1"/>
    <mergeCell ref="C2:T2"/>
    <mergeCell ref="C3:T3"/>
  </mergeCells>
  <phoneticPr fontId="18" type="noConversion"/>
  <conditionalFormatting sqref="C5:V112 C113:T235">
    <cfRule type="expression" dxfId="15" priority="6">
      <formula>MOD(ROW(),2)=0</formula>
    </cfRule>
  </conditionalFormatting>
  <conditionalFormatting sqref="N113:S235">
    <cfRule type="expression" dxfId="14" priority="7">
      <formula>$N113="🔴 En retard"</formula>
    </cfRule>
    <cfRule type="expression" dxfId="13" priority="8">
      <formula>$N113="🟠 À déclencher"</formula>
    </cfRule>
    <cfRule type="expression" dxfId="12" priority="9">
      <formula>$N113="🟡 À préparer"</formula>
    </cfRule>
    <cfRule type="expression" dxfId="11" priority="10">
      <formula>$N113="🟢 À jour"</formula>
    </cfRule>
    <cfRule type="expression" dxfId="10" priority="11">
      <formula>OR($N113="⚪ À surveiller",$N113="⚪ À qualifier")</formula>
    </cfRule>
  </conditionalFormatting>
  <conditionalFormatting sqref="U5:U112">
    <cfRule type="expression" dxfId="9" priority="1">
      <formula>LEFT(U5,1)="🔴"</formula>
    </cfRule>
    <cfRule type="expression" dxfId="8" priority="2">
      <formula>LEFT(U5,1)="🟠"</formula>
    </cfRule>
    <cfRule type="expression" dxfId="7" priority="3">
      <formula>LEFT(U5,1)="🟡"</formula>
    </cfRule>
    <cfRule type="expression" dxfId="6" priority="4">
      <formula>LEFT(U5,1)="🟢"</formula>
    </cfRule>
    <cfRule type="expression" dxfId="5" priority="5">
      <formula>LEFT(U5,1)="⚪"</formula>
    </cfRule>
    <cfRule type="expression" dxfId="4" priority="19">
      <formula>$U5="🔴 En retard"</formula>
    </cfRule>
    <cfRule type="expression" dxfId="3" priority="20">
      <formula>$U5="🟠 À déclencher"</formula>
    </cfRule>
    <cfRule type="expression" dxfId="2" priority="21">
      <formula>$U5="🟡 À préparer"</formula>
    </cfRule>
    <cfRule type="expression" dxfId="1" priority="22">
      <formula>$U5="🟢 À jour"</formula>
    </cfRule>
    <cfRule type="expression" dxfId="0" priority="23">
      <formula>OR($U5="⚪ À surveiller",$U5="⚪ À qualifier")</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zoomScaleNormal="100" zoomScaleSheetLayoutView="100" workbookViewId="0"/>
  </sheetViews>
  <sheetFormatPr baseColWidth="10" defaultColWidth="8.69921875" defaultRowHeight="13.8"/>
  <cols>
    <col min="1" max="1" width="26" customWidth="1"/>
    <col min="2" max="2" width="36.09765625" customWidth="1"/>
    <col min="3" max="3" width="48" customWidth="1"/>
    <col min="4" max="4" width="22.09765625" customWidth="1"/>
  </cols>
  <sheetData>
    <row r="1" spans="1:4" ht="28.05" customHeight="1">
      <c r="A1" s="22" t="s">
        <v>6</v>
      </c>
      <c r="B1" s="23" t="s">
        <v>312</v>
      </c>
      <c r="C1" s="23" t="s">
        <v>313</v>
      </c>
      <c r="D1" s="24" t="s">
        <v>314</v>
      </c>
    </row>
    <row r="2" spans="1:4" ht="25.05" customHeight="1">
      <c r="A2" s="30" t="s">
        <v>315</v>
      </c>
      <c r="B2" s="28" t="s">
        <v>316</v>
      </c>
      <c r="C2" s="28" t="s">
        <v>317</v>
      </c>
      <c r="D2" s="29" t="s">
        <v>318</v>
      </c>
    </row>
    <row r="3" spans="1:4" ht="25.05" customHeight="1">
      <c r="A3" s="33" t="s">
        <v>319</v>
      </c>
      <c r="B3" s="31" t="s">
        <v>320</v>
      </c>
      <c r="C3" s="31" t="s">
        <v>321</v>
      </c>
      <c r="D3" s="32" t="s">
        <v>322</v>
      </c>
    </row>
    <row r="4" spans="1:4" ht="25.05" customHeight="1">
      <c r="A4" s="36" t="s">
        <v>323</v>
      </c>
      <c r="B4" s="34" t="s">
        <v>324</v>
      </c>
      <c r="C4" s="34" t="s">
        <v>325</v>
      </c>
      <c r="D4" s="35" t="s">
        <v>326</v>
      </c>
    </row>
    <row r="5" spans="1:4" ht="25.05" customHeight="1">
      <c r="A5" s="39" t="s">
        <v>327</v>
      </c>
      <c r="B5" s="37" t="s">
        <v>328</v>
      </c>
      <c r="C5" s="37" t="s">
        <v>329</v>
      </c>
      <c r="D5" s="38" t="s">
        <v>330</v>
      </c>
    </row>
    <row r="6" spans="1:4" ht="25.05" customHeight="1">
      <c r="A6" s="42" t="s">
        <v>331</v>
      </c>
      <c r="B6" s="40" t="s">
        <v>332</v>
      </c>
      <c r="C6" s="40" t="s">
        <v>333</v>
      </c>
      <c r="D6" s="41" t="s">
        <v>334</v>
      </c>
    </row>
    <row r="7" spans="1:4">
      <c r="A7" s="4"/>
      <c r="B7" s="5"/>
      <c r="C7" s="5"/>
      <c r="D7" s="6"/>
    </row>
    <row r="8" spans="1:4" ht="28.05" customHeight="1">
      <c r="A8" s="25" t="s">
        <v>335</v>
      </c>
      <c r="B8" s="26" t="s">
        <v>336</v>
      </c>
      <c r="C8" s="26" t="s">
        <v>337</v>
      </c>
      <c r="D8" s="27" t="s">
        <v>338</v>
      </c>
    </row>
    <row r="9" spans="1:4" ht="34.049999999999997" customHeight="1">
      <c r="A9" s="47" t="s">
        <v>339</v>
      </c>
      <c r="B9" s="43" t="s">
        <v>340</v>
      </c>
      <c r="C9" s="43" t="s">
        <v>341</v>
      </c>
      <c r="D9" s="44" t="s">
        <v>342</v>
      </c>
    </row>
    <row r="10" spans="1:4" ht="34.049999999999997" customHeight="1">
      <c r="A10" s="48" t="s">
        <v>343</v>
      </c>
      <c r="B10" s="45" t="s">
        <v>344</v>
      </c>
      <c r="C10" s="45" t="s">
        <v>345</v>
      </c>
      <c r="D10" s="46"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À faire ce mois</vt:lpstr>
      <vt:lpstr>Suivi simple</vt:lpstr>
      <vt:lpstr>Référentiel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Yazid OUAHMANE</dc:creator>
  <cp:lastModifiedBy>RSM</cp:lastModifiedBy>
  <dcterms:created xsi:type="dcterms:W3CDTF">2026-09-18T09:11:39Z</dcterms:created>
  <dcterms:modified xsi:type="dcterms:W3CDTF">2026-09-22T20:46:34Z</dcterms:modified>
</cp:coreProperties>
</file>